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파워링크 키워드별" sheetId="1" r:id="rId4"/>
    <sheet state="visible" name="구글 디스플레이 소재별" sheetId="2" r:id="rId5"/>
    <sheet state="visible" name="구글애널리틱스 키워드별" sheetId="3" r:id="rId6"/>
    <sheet state="visible" name="구글애널리틱스 구글 디스플레이 소재별" sheetId="4" r:id="rId7"/>
  </sheets>
  <definedNames>
    <definedName hidden="1" localSheetId="0" name="_xlnm._FilterDatabase">'파워링크 키워드별'!$B$2:$K$382</definedName>
    <definedName hidden="1" localSheetId="2" name="_xlnm._FilterDatabase">'구글애널리틱스 키워드별'!$B$2:$H$1000</definedName>
  </definedNames>
  <calcPr/>
  <extLst>
    <ext uri="GoogleSheetsCustomDataVersion1">
      <go:sheetsCustomData xmlns:go="http://customooxmlschemas.google.com/" r:id="rId8" roundtripDataSignature="AMtx7misJCzkoTJJYcxc0UBmSs44i4X50Q=="/>
    </ext>
  </extLst>
</workbook>
</file>

<file path=xl/sharedStrings.xml><?xml version="1.0" encoding="utf-8"?>
<sst xmlns="http://schemas.openxmlformats.org/spreadsheetml/2006/main" count="854" uniqueCount="458">
  <si>
    <t>2022-01-01 ~ 2022-01-31</t>
  </si>
  <si>
    <t>키워드</t>
  </si>
  <si>
    <t>지출</t>
  </si>
  <si>
    <t>노출</t>
  </si>
  <si>
    <t xml:space="preserve">클릭 </t>
  </si>
  <si>
    <t>CTR</t>
  </si>
  <si>
    <t>CPC</t>
  </si>
  <si>
    <t>CPA</t>
  </si>
  <si>
    <t>구매</t>
  </si>
  <si>
    <t>매출</t>
  </si>
  <si>
    <t>ROAS</t>
  </si>
  <si>
    <t>1++등심</t>
  </si>
  <si>
    <t>1++살치살</t>
  </si>
  <si>
    <t>1++안심</t>
  </si>
  <si>
    <t>1++한우</t>
  </si>
  <si>
    <t>1등급소고기</t>
  </si>
  <si>
    <t>1등급한우</t>
  </si>
  <si>
    <t>1등급한우등심</t>
  </si>
  <si>
    <t>가족선물</t>
  </si>
  <si>
    <t>갈비세트</t>
  </si>
  <si>
    <t>거래처선물</t>
  </si>
  <si>
    <t>거래처설선물</t>
  </si>
  <si>
    <t>고급선물세트</t>
  </si>
  <si>
    <t>고급설선물</t>
  </si>
  <si>
    <t>고급설선물세트</t>
  </si>
  <si>
    <t>고급소고기</t>
  </si>
  <si>
    <t>고기선물</t>
  </si>
  <si>
    <t>고기선물세트</t>
  </si>
  <si>
    <t>구이용소갈비</t>
  </si>
  <si>
    <t>구이용소고기</t>
  </si>
  <si>
    <t>구이용한우</t>
  </si>
  <si>
    <t>구정명절선물</t>
  </si>
  <si>
    <t>구정선물</t>
  </si>
  <si>
    <t>구정선물세트</t>
  </si>
  <si>
    <t>구정선물셋트</t>
  </si>
  <si>
    <t>구정선물추천</t>
  </si>
  <si>
    <t>국거리소고기</t>
  </si>
  <si>
    <t>국내산한우</t>
  </si>
  <si>
    <t>글램핑바베큐</t>
  </si>
  <si>
    <t>기업선물</t>
  </si>
  <si>
    <t>기업선물세트</t>
  </si>
  <si>
    <t>기업체선물</t>
  </si>
  <si>
    <t>꽃갈비</t>
  </si>
  <si>
    <t>꽃갈비살</t>
  </si>
  <si>
    <t>꽃등심</t>
  </si>
  <si>
    <t>꽃등심새우살</t>
  </si>
  <si>
    <t>꽃등심스테이크</t>
  </si>
  <si>
    <t>남자친구생일상</t>
  </si>
  <si>
    <t>단체선물추천</t>
  </si>
  <si>
    <t>대패등심</t>
  </si>
  <si>
    <t>두꺼운스테이크</t>
  </si>
  <si>
    <t>등심</t>
  </si>
  <si>
    <t>등심가격</t>
  </si>
  <si>
    <t>등심덩어리</t>
  </si>
  <si>
    <t>등심선물세트</t>
  </si>
  <si>
    <t>등심스테이크</t>
  </si>
  <si>
    <t>등심원육</t>
  </si>
  <si>
    <t>르통</t>
  </si>
  <si>
    <t>르통샤퀴테리</t>
  </si>
  <si>
    <t>맛있는소고기부위</t>
  </si>
  <si>
    <t>명절선물</t>
  </si>
  <si>
    <t>명절선물도매</t>
  </si>
  <si>
    <t>명절선물세트</t>
  </si>
  <si>
    <t>명절선물셋트</t>
  </si>
  <si>
    <t>명절선물추천</t>
  </si>
  <si>
    <t>명절선물한우</t>
  </si>
  <si>
    <t>명품한우</t>
  </si>
  <si>
    <t>명품한우선물세트</t>
  </si>
  <si>
    <t>무항생제소고기</t>
  </si>
  <si>
    <t>무항생제한우</t>
  </si>
  <si>
    <t>바베큐</t>
  </si>
  <si>
    <t>바베큐고기</t>
  </si>
  <si>
    <t>바베큐세트</t>
  </si>
  <si>
    <t>바베큐셋트</t>
  </si>
  <si>
    <t>바베큐소고기</t>
  </si>
  <si>
    <t>바베큐용고기</t>
  </si>
  <si>
    <t>바베큐용소고기</t>
  </si>
  <si>
    <t>백화점설선물</t>
  </si>
  <si>
    <t>백화점한우선물세트</t>
  </si>
  <si>
    <t>베이비로인</t>
  </si>
  <si>
    <t>부모님명절선물</t>
  </si>
  <si>
    <t>부모님새해선물</t>
  </si>
  <si>
    <t>부모님생신상차림</t>
  </si>
  <si>
    <t>부모님생일상차림메뉴</t>
  </si>
  <si>
    <t>부모님설선물</t>
  </si>
  <si>
    <t>부채살스테이크</t>
  </si>
  <si>
    <t>불고기</t>
  </si>
  <si>
    <t>불고기용소고기</t>
  </si>
  <si>
    <t>비프스테이크</t>
  </si>
  <si>
    <t>사돈댁명절선물</t>
  </si>
  <si>
    <t>사돈명절선물</t>
  </si>
  <si>
    <t>사장님선물</t>
  </si>
  <si>
    <t>살치살</t>
  </si>
  <si>
    <t>새해선물</t>
  </si>
  <si>
    <t>새해선물세트</t>
  </si>
  <si>
    <t>생신상</t>
  </si>
  <si>
    <t>생신상메뉴</t>
  </si>
  <si>
    <t>생신상차림</t>
  </si>
  <si>
    <t>생신음식</t>
  </si>
  <si>
    <t>생일상메뉴</t>
  </si>
  <si>
    <t>생일상차림</t>
  </si>
  <si>
    <t>생일상차림메뉴</t>
  </si>
  <si>
    <t>생일음식</t>
  </si>
  <si>
    <t>생일잔치음식</t>
  </si>
  <si>
    <t>생일파티음식</t>
  </si>
  <si>
    <t>샤퀴테리</t>
  </si>
  <si>
    <t>샤토브리앙</t>
  </si>
  <si>
    <t>샤토브리앙스테이크</t>
  </si>
  <si>
    <t>선물세트</t>
  </si>
  <si>
    <t>선물세트추천</t>
  </si>
  <si>
    <t>선물셋트</t>
  </si>
  <si>
    <t>설날단체선물</t>
  </si>
  <si>
    <t>설날명절선물</t>
  </si>
  <si>
    <t>설날부모님선물</t>
  </si>
  <si>
    <t>설날선물</t>
  </si>
  <si>
    <t>설날선물세트</t>
  </si>
  <si>
    <t>설날선물세트추천</t>
  </si>
  <si>
    <t>설날선물셋트</t>
  </si>
  <si>
    <t>설날선물추천</t>
  </si>
  <si>
    <t>설날한우</t>
  </si>
  <si>
    <t>설날한우선물세트</t>
  </si>
  <si>
    <t>설날한우세트</t>
  </si>
  <si>
    <t>설단체선물</t>
  </si>
  <si>
    <t>설로인르통</t>
  </si>
  <si>
    <t>설로인매장</t>
  </si>
  <si>
    <t>설로인샤토브리앙</t>
  </si>
  <si>
    <t>설로인선물세트</t>
  </si>
  <si>
    <t>설로인세트</t>
  </si>
  <si>
    <t>설로인스테이크</t>
  </si>
  <si>
    <t>설로인안심</t>
  </si>
  <si>
    <t>설로인이유식</t>
  </si>
  <si>
    <t>설로인채끝</t>
  </si>
  <si>
    <t>설로인한우</t>
  </si>
  <si>
    <t>설로인홈파티</t>
  </si>
  <si>
    <t>설로인후기</t>
  </si>
  <si>
    <t>설명절선물</t>
  </si>
  <si>
    <t>설명절선물세트</t>
  </si>
  <si>
    <t>설명절음식</t>
  </si>
  <si>
    <t>설선물</t>
  </si>
  <si>
    <t>설선물세트</t>
  </si>
  <si>
    <t>설선물세트도매</t>
  </si>
  <si>
    <t>설선물세트추천</t>
  </si>
  <si>
    <t>설선물세트한우</t>
  </si>
  <si>
    <t>설선물셋트</t>
  </si>
  <si>
    <t>설선물소고기</t>
  </si>
  <si>
    <t>설선물추천</t>
  </si>
  <si>
    <t>설선물한우</t>
  </si>
  <si>
    <t>설선물한우세트</t>
  </si>
  <si>
    <t>설한우</t>
  </si>
  <si>
    <t>설한우선물</t>
  </si>
  <si>
    <t>설한우선물세트</t>
  </si>
  <si>
    <t>설한우세트</t>
  </si>
  <si>
    <t>센스있는명절선물</t>
  </si>
  <si>
    <t>센스있는설선물</t>
  </si>
  <si>
    <t>소갈비세트</t>
  </si>
  <si>
    <t>소고기1++</t>
  </si>
  <si>
    <t>소고기구이</t>
  </si>
  <si>
    <t>소고기구이용</t>
  </si>
  <si>
    <t>소고기국거리</t>
  </si>
  <si>
    <t>소고기꽃등심</t>
  </si>
  <si>
    <t>소고기등심</t>
  </si>
  <si>
    <t>소고기등심가격</t>
  </si>
  <si>
    <t>소고기등심스테이크</t>
  </si>
  <si>
    <t>소고기맛있는부위</t>
  </si>
  <si>
    <t>소고기모듬</t>
  </si>
  <si>
    <t>소고기모듬구이</t>
  </si>
  <si>
    <t>소고기바베큐</t>
  </si>
  <si>
    <t>소고기배송</t>
  </si>
  <si>
    <t>소고기부채살</t>
  </si>
  <si>
    <t>소고기부챗살</t>
  </si>
  <si>
    <t>소고기사이트</t>
  </si>
  <si>
    <t>소고기살치살</t>
  </si>
  <si>
    <t>소고기선물세트</t>
  </si>
  <si>
    <t>소고기선물셋트</t>
  </si>
  <si>
    <t>소고기쇼핑몰</t>
  </si>
  <si>
    <t>소고기스테이크</t>
  </si>
  <si>
    <t>소고기스테이크만들기</t>
  </si>
  <si>
    <t>소고기안심</t>
  </si>
  <si>
    <t>소고기안심가격</t>
  </si>
  <si>
    <t>소고기안심스테이크</t>
  </si>
  <si>
    <t>소고기안심요리</t>
  </si>
  <si>
    <t>소고기양지국거리</t>
  </si>
  <si>
    <t>소고기온라인</t>
  </si>
  <si>
    <t>소고기이유식</t>
  </si>
  <si>
    <t>소고기채끝살</t>
  </si>
  <si>
    <t>소고기토시살</t>
  </si>
  <si>
    <t>소고기투뿔</t>
  </si>
  <si>
    <t>소고기파는곳</t>
  </si>
  <si>
    <t>소꼬리</t>
  </si>
  <si>
    <t>소등심</t>
  </si>
  <si>
    <t>소등심스테이크</t>
  </si>
  <si>
    <t>소불고기</t>
  </si>
  <si>
    <t>소안심</t>
  </si>
  <si>
    <t>소알꼬리</t>
  </si>
  <si>
    <t>소양지</t>
  </si>
  <si>
    <t>손님상</t>
  </si>
  <si>
    <t>손님상차림</t>
  </si>
  <si>
    <t>손님접대음식</t>
  </si>
  <si>
    <t>손님초대상차림</t>
  </si>
  <si>
    <t>손님초대요리</t>
  </si>
  <si>
    <t>숙성고기</t>
  </si>
  <si>
    <t>숙성안심</t>
  </si>
  <si>
    <t>숯불구이고기</t>
  </si>
  <si>
    <t>숯불구이용소고기</t>
  </si>
  <si>
    <t>숯불소고기</t>
  </si>
  <si>
    <t>스테이크</t>
  </si>
  <si>
    <t>스테이크고기</t>
  </si>
  <si>
    <t>스테이크고기파는곳</t>
  </si>
  <si>
    <t>스테이크구매</t>
  </si>
  <si>
    <t>스테이크굽기</t>
  </si>
  <si>
    <t>스테이크만드는법</t>
  </si>
  <si>
    <t>스테이크맛있게굽는법</t>
  </si>
  <si>
    <t>스테이크선물</t>
  </si>
  <si>
    <t>스테이크소고기</t>
  </si>
  <si>
    <t>스테이크쇼핑몰</t>
  </si>
  <si>
    <t>스테이크안심</t>
  </si>
  <si>
    <t>스테이크요리</t>
  </si>
  <si>
    <t>스테이크용고기</t>
  </si>
  <si>
    <t>스테이크용등심</t>
  </si>
  <si>
    <t>스테이크용소고기</t>
  </si>
  <si>
    <t>스테이크용안심</t>
  </si>
  <si>
    <t>스테이크용한우</t>
  </si>
  <si>
    <t>스테이크재료</t>
  </si>
  <si>
    <t>스테이크키트</t>
  </si>
  <si>
    <t>스테이크한우</t>
  </si>
  <si>
    <t>시댁명절선물</t>
  </si>
  <si>
    <t>시댁설선물</t>
  </si>
  <si>
    <t>시어머니생신상</t>
  </si>
  <si>
    <t>아기이유식고기</t>
  </si>
  <si>
    <t>아기이유식소고기</t>
  </si>
  <si>
    <t>안심</t>
  </si>
  <si>
    <t>안심가격</t>
  </si>
  <si>
    <t>안심굽는법</t>
  </si>
  <si>
    <t>안심덩어리</t>
  </si>
  <si>
    <t>안심스테이크</t>
  </si>
  <si>
    <t>안심추리</t>
  </si>
  <si>
    <t>안심추천</t>
  </si>
  <si>
    <t>안심한우</t>
  </si>
  <si>
    <t>알꼬리</t>
  </si>
  <si>
    <t>알등심</t>
  </si>
  <si>
    <t>야외바베큐</t>
  </si>
  <si>
    <t>양지고기</t>
  </si>
  <si>
    <t>양지살</t>
  </si>
  <si>
    <t>어르신명절선물</t>
  </si>
  <si>
    <t>어르신설선물</t>
  </si>
  <si>
    <t>예비시댁명절선물</t>
  </si>
  <si>
    <t>예비시댁설선물</t>
  </si>
  <si>
    <t>유아소고기</t>
  </si>
  <si>
    <t>육우등심</t>
  </si>
  <si>
    <t>육우안심</t>
  </si>
  <si>
    <t>육우채끝</t>
  </si>
  <si>
    <t>이베리코등심</t>
  </si>
  <si>
    <t>이유식고기</t>
  </si>
  <si>
    <t>이유식소고기</t>
  </si>
  <si>
    <t>이유식안심</t>
  </si>
  <si>
    <t>이유식용소고기</t>
  </si>
  <si>
    <t>이유식우둔살</t>
  </si>
  <si>
    <t>이유식재료</t>
  </si>
  <si>
    <t>이유식한우</t>
  </si>
  <si>
    <t>임직원명절선물</t>
  </si>
  <si>
    <t>잔치상</t>
  </si>
  <si>
    <t>잔치음식</t>
  </si>
  <si>
    <t>장조림고기</t>
  </si>
  <si>
    <t>장조림용소고기</t>
  </si>
  <si>
    <t>정육선물세트</t>
  </si>
  <si>
    <t>중기이유식소고기</t>
  </si>
  <si>
    <t>직원명절선물</t>
  </si>
  <si>
    <t>직원선물</t>
  </si>
  <si>
    <t>직원선물세트</t>
  </si>
  <si>
    <t>직원설선물</t>
  </si>
  <si>
    <t>직장선물</t>
  </si>
  <si>
    <t>직장인선물</t>
  </si>
  <si>
    <t>집들이메뉴</t>
  </si>
  <si>
    <t>집들이상차림</t>
  </si>
  <si>
    <t>집들이음식</t>
  </si>
  <si>
    <t>집들이음식메뉴추천</t>
  </si>
  <si>
    <t>집에서스테이크</t>
  </si>
  <si>
    <t>차돌박이</t>
  </si>
  <si>
    <t>찹스테이크</t>
  </si>
  <si>
    <t>채끝</t>
  </si>
  <si>
    <t>채끝등심</t>
  </si>
  <si>
    <t>채끝등심스테이크</t>
  </si>
  <si>
    <t>채끝살</t>
  </si>
  <si>
    <t>채끝살가격</t>
  </si>
  <si>
    <t>채끝살스테이크</t>
  </si>
  <si>
    <t>채끝스테이크</t>
  </si>
  <si>
    <t>초기소고기이유식</t>
  </si>
  <si>
    <t>초기이유식소고기</t>
  </si>
  <si>
    <t>큐브스테이크</t>
  </si>
  <si>
    <t>토시살</t>
  </si>
  <si>
    <t>투뿔등심</t>
  </si>
  <si>
    <t>특별한명절선물</t>
  </si>
  <si>
    <t>파티요리</t>
  </si>
  <si>
    <t>펜션고기</t>
  </si>
  <si>
    <t>프라임등심</t>
  </si>
  <si>
    <t>프라임소고기</t>
  </si>
  <si>
    <t>프라임안심</t>
  </si>
  <si>
    <t>프리미엄소고기</t>
  </si>
  <si>
    <t>프리미엄한우</t>
  </si>
  <si>
    <t>한우</t>
  </si>
  <si>
    <t>한우++</t>
  </si>
  <si>
    <t>한우1+</t>
  </si>
  <si>
    <t>한우1++</t>
  </si>
  <si>
    <t>한우1++등심</t>
  </si>
  <si>
    <t>한우1등급안심</t>
  </si>
  <si>
    <t>한우가격</t>
  </si>
  <si>
    <t>한우갈비살</t>
  </si>
  <si>
    <t>한우갈비세트</t>
  </si>
  <si>
    <t>한우고기</t>
  </si>
  <si>
    <t>한우구이</t>
  </si>
  <si>
    <t>한우구이선물세트</t>
  </si>
  <si>
    <t>한우구이세트</t>
  </si>
  <si>
    <t>한우구이용</t>
  </si>
  <si>
    <t>한우국거리</t>
  </si>
  <si>
    <t>한우꼬리</t>
  </si>
  <si>
    <t>한우꽃갈비</t>
  </si>
  <si>
    <t>한우꽃갈비살</t>
  </si>
  <si>
    <t>한우꽃등심</t>
  </si>
  <si>
    <t>한우꽃등심가격</t>
  </si>
  <si>
    <t>한우꽃등심선물세트</t>
  </si>
  <si>
    <t>한우꽃등심스테이크</t>
  </si>
  <si>
    <t>한우늑간살</t>
  </si>
  <si>
    <t>한우당일배송</t>
  </si>
  <si>
    <t>한우등심</t>
  </si>
  <si>
    <t>한우등심가격</t>
  </si>
  <si>
    <t>한우등심구이</t>
  </si>
  <si>
    <t>한우등심선물세트</t>
  </si>
  <si>
    <t>한우등심세트</t>
  </si>
  <si>
    <t>한우등심스테이크</t>
  </si>
  <si>
    <t>한우립아이</t>
  </si>
  <si>
    <t>한우명절선물</t>
  </si>
  <si>
    <t>한우명절세트</t>
  </si>
  <si>
    <t>한우모듬</t>
  </si>
  <si>
    <t>한우모듬구이</t>
  </si>
  <si>
    <t>한우불고기</t>
  </si>
  <si>
    <t>한우사이트</t>
  </si>
  <si>
    <t>한우살치살</t>
  </si>
  <si>
    <t>한우생갈비</t>
  </si>
  <si>
    <t>한우선물</t>
  </si>
  <si>
    <t>한우선물세트</t>
  </si>
  <si>
    <t>한우선물셋트</t>
  </si>
  <si>
    <t>한우설선물</t>
  </si>
  <si>
    <t>한우설선물세트</t>
  </si>
  <si>
    <t>한우세트</t>
  </si>
  <si>
    <t>한우셋트</t>
  </si>
  <si>
    <t>한우소고기</t>
  </si>
  <si>
    <t>한우소꼬리</t>
  </si>
  <si>
    <t>한우쇼핑몰</t>
  </si>
  <si>
    <t>한우스테이크</t>
  </si>
  <si>
    <t>한우스테이크용</t>
  </si>
  <si>
    <t>한우안심</t>
  </si>
  <si>
    <t>한우안심200G</t>
  </si>
  <si>
    <t>한우안심가격</t>
  </si>
  <si>
    <t>한우안심선물세트</t>
  </si>
  <si>
    <t>한우안심세트</t>
  </si>
  <si>
    <t>한우안심스테이크</t>
  </si>
  <si>
    <t>한우안심슬라이스</t>
  </si>
  <si>
    <t>한우알등심</t>
  </si>
  <si>
    <t>한우암소등심</t>
  </si>
  <si>
    <t>한우양지</t>
  </si>
  <si>
    <t>한우양지살</t>
  </si>
  <si>
    <t>한우우둔살가격</t>
  </si>
  <si>
    <t>한우유명한곳</t>
  </si>
  <si>
    <t>한우이유식</t>
  </si>
  <si>
    <t>한우차돌</t>
  </si>
  <si>
    <t>한우차돌박이</t>
  </si>
  <si>
    <t>한우채끝</t>
  </si>
  <si>
    <t>한우채끝등심</t>
  </si>
  <si>
    <t>한우채끝살</t>
  </si>
  <si>
    <t>한우채끝스테이크</t>
  </si>
  <si>
    <t>한우토시살</t>
  </si>
  <si>
    <t>한우투뿔등심</t>
  </si>
  <si>
    <t>한우투뿔안심</t>
  </si>
  <si>
    <t>한우판매</t>
  </si>
  <si>
    <t>할머니설날선물</t>
  </si>
  <si>
    <t>홈파티</t>
  </si>
  <si>
    <t>홈파티고기세트</t>
  </si>
  <si>
    <t>홈파티세트</t>
  </si>
  <si>
    <t>홈파티스테이크</t>
  </si>
  <si>
    <t>홈파티요리</t>
  </si>
  <si>
    <t>홈파티음식</t>
  </si>
  <si>
    <t>회사명절선물</t>
  </si>
  <si>
    <t>회사명절선물세트</t>
  </si>
  <si>
    <t>회사선물</t>
  </si>
  <si>
    <t>회사선물세트</t>
  </si>
  <si>
    <t>회사설선물세트</t>
  </si>
  <si>
    <t>회사직원선물</t>
  </si>
  <si>
    <t>횡성한우선물세트</t>
  </si>
  <si>
    <t>SIRLOIN</t>
  </si>
  <si>
    <t>SIRLOIN한우</t>
  </si>
  <si>
    <t>TJFFHDLS</t>
  </si>
  <si>
    <t>소재</t>
  </si>
  <si>
    <t>PC_세트용_728x90(구이랜딩)</t>
  </si>
  <si>
    <t>PC_한우구이2차_728x90</t>
  </si>
  <si>
    <t>PC_한우구이2차(미니샤토)_300X600</t>
  </si>
  <si>
    <t>PC_한우구이2차(고기뒤집는)_300X250</t>
  </si>
  <si>
    <t>PC_한우구이2차(샤토굽는)_120X600</t>
  </si>
  <si>
    <t>PC_구이용_336x280</t>
  </si>
  <si>
    <t>PC_한우구이2차(접시에고기)_120X600</t>
  </si>
  <si>
    <t>PC_구이용_120x600</t>
  </si>
  <si>
    <t>PC_한우구이2차(샤토)_300X250</t>
  </si>
  <si>
    <t>PC_한우구이2차(접시위고기)_300X600</t>
  </si>
  <si>
    <t>PC_구이용_300x600</t>
  </si>
  <si>
    <t>PC_구이용_300x250</t>
  </si>
  <si>
    <t>PC_한우구이2차_336X280</t>
  </si>
  <si>
    <t>PC_세트용_336X280(구이랜딩)</t>
  </si>
  <si>
    <t>MO_구이용_320x100</t>
  </si>
  <si>
    <t>MO_구이용_336x280</t>
  </si>
  <si>
    <t>MO_구이용_300x250</t>
  </si>
  <si>
    <t>MO_한우구이2차(고기뒤집는)_320X50</t>
  </si>
  <si>
    <t>MO_구이용_320x50</t>
  </si>
  <si>
    <t>MO_한우구이2차(샤토단면)_320X50</t>
  </si>
  <si>
    <t>MO_한우구이2차(샤토마블링)_300X250</t>
  </si>
  <si>
    <t>MO_한우구이2차(고기뒤집는)_300X250</t>
  </si>
  <si>
    <t>사용자</t>
  </si>
  <si>
    <t>세션</t>
  </si>
  <si>
    <t>이탈수</t>
  </si>
  <si>
    <t>이탈율</t>
  </si>
  <si>
    <t>세션당PV</t>
  </si>
  <si>
    <t>20만원대선물</t>
  </si>
  <si>
    <t>고급한우세트</t>
  </si>
  <si>
    <t>글램핑소고기</t>
  </si>
  <si>
    <t>꽃등심가격</t>
  </si>
  <si>
    <t>명품한우세트</t>
  </si>
  <si>
    <t>살치살한우</t>
  </si>
  <si>
    <t>서로인</t>
  </si>
  <si>
    <t>설로인고객센터</t>
  </si>
  <si>
    <t>설로인쿠폰</t>
  </si>
  <si>
    <t>설로인한우선물세트</t>
  </si>
  <si>
    <t>소고기등심안심가격</t>
  </si>
  <si>
    <t>소고기맛집</t>
  </si>
  <si>
    <t>소고기전문</t>
  </si>
  <si>
    <t>수요미식회안심</t>
  </si>
  <si>
    <t>시부모선물</t>
  </si>
  <si>
    <t>신년선물</t>
  </si>
  <si>
    <t>아기이유식재료</t>
  </si>
  <si>
    <t>안심이유식</t>
  </si>
  <si>
    <t>여행고기</t>
  </si>
  <si>
    <t>예비시댁선물</t>
  </si>
  <si>
    <t>중기소고기이유식</t>
  </si>
  <si>
    <t>한우국거리부위</t>
  </si>
  <si>
    <t>PC_120X600_일상속미식경험_샤토굽는</t>
  </si>
  <si>
    <t>PC_120X600_일상속미식경험_접시에고기</t>
  </si>
  <si>
    <t>PC_300X250_일상속미식_고기뒤집는</t>
  </si>
  <si>
    <t>PC_300X250_일상속미식_샤토칼로써는</t>
  </si>
  <si>
    <t>PC_300X600_일상을특별하게_미니샤토접시</t>
  </si>
  <si>
    <t>PC_300X600_일상을특별하게_접시위고기</t>
  </si>
  <si>
    <t>PC_336X280_한우로즐기는_홈파티패키지</t>
  </si>
  <si>
    <t>PC_728x90_일상속미식_접시위고기</t>
  </si>
  <si>
    <t>MO_구이용_120x100</t>
  </si>
  <si>
    <t>MO_구이용_120x600</t>
  </si>
  <si>
    <t>MO_구이용_300X250_2</t>
  </si>
  <si>
    <t>MO_구이용_320X50</t>
  </si>
  <si>
    <t>MO_구이용_320X600</t>
  </si>
  <si>
    <t>MO_구이용_336X280</t>
  </si>
  <si>
    <t>MO_구이용_728X90</t>
  </si>
  <si>
    <t>MO_320X50_일상속미식_고기뒤집는</t>
  </si>
  <si>
    <t>MO_320X50_일상속미식_샤토단면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</si>
</sst>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₩&quot;* #,##0_-;\-&quot;₩&quot;* #,##0_-;_-&quot;₩&quot;* &quot;-&quot;_-;_-@"/>
    <numFmt numFmtId="165" formatCode="_-* #,##0_-;\-* #,##0_-;_-* &quot;-&quot;_-;_-@"/>
    <numFmt numFmtId="166" formatCode="_-* #,##0.00_-;\-* #,##0.00_-;_-* &quot;-&quot;_-;_-@"/>
    <numFmt numFmtId="167" formatCode="0.0%"/>
  </numFmts>
  <fonts count="3">
    <font>
      <sz val="11.0"/>
      <color theme="1"/>
      <name val="Malgun Gothic"/>
    </font>
    <font>
      <b/>
      <sz val="11.0"/>
      <color theme="1"/>
      <name val="Malgun Gothic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0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0" numFmtId="164" xfId="0" applyAlignment="1" applyFont="1" applyNumberFormat="1">
      <alignment vertical="center"/>
    </xf>
    <xf borderId="0" fillId="0" fontId="0" numFmtId="165" xfId="0" applyAlignment="1" applyFont="1" applyNumberFormat="1">
      <alignment vertical="center"/>
    </xf>
    <xf borderId="0" fillId="0" fontId="0" numFmtId="10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2" numFmtId="10" xfId="0" applyAlignment="1" applyFont="1" applyNumberFormat="1">
      <alignment vertical="center"/>
    </xf>
    <xf borderId="0" fillId="0" fontId="0" numFmtId="3" xfId="0" applyAlignment="1" applyFont="1" applyNumberFormat="1">
      <alignment horizontal="center" vertical="center"/>
    </xf>
    <xf borderId="0" fillId="0" fontId="0" numFmtId="10" xfId="0" applyAlignment="1" applyFont="1" applyNumberFormat="1">
      <alignment horizontal="center" vertical="center"/>
    </xf>
    <xf borderId="0" fillId="0" fontId="0" numFmtId="3" xfId="0" applyAlignment="1" applyFont="1" applyNumberFormat="1">
      <alignment vertical="center"/>
    </xf>
    <xf borderId="0" fillId="0" fontId="0" numFmtId="166" xfId="0" applyAlignment="1" applyFont="1" applyNumberFormat="1">
      <alignment vertical="center"/>
    </xf>
    <xf borderId="0" fillId="0" fontId="2" numFmtId="4" xfId="0" applyAlignment="1" applyFont="1" applyNumberFormat="1">
      <alignment vertical="center"/>
    </xf>
    <xf borderId="0" fillId="0" fontId="0" numFmtId="4" xfId="0" applyAlignment="1" applyFont="1" applyNumberFormat="1">
      <alignment horizontal="center" vertical="center"/>
    </xf>
    <xf borderId="0" fillId="0" fontId="0" numFmtId="167" xfId="0" applyAlignment="1" applyFont="1" applyNumberFormat="1">
      <alignment vertical="center"/>
    </xf>
    <xf borderId="0" fillId="0" fontId="0" numFmtId="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0.88"/>
    <col customWidth="1" min="3" max="3" width="10.63"/>
    <col customWidth="1" min="4" max="4" width="8.0"/>
    <col customWidth="1" min="5" max="5" width="8.38"/>
    <col customWidth="1" min="6" max="7" width="7.5"/>
    <col customWidth="1" min="8" max="8" width="9.38"/>
    <col customWidth="1" min="9" max="9" width="7.88"/>
    <col customWidth="1" min="10" max="10" width="11.25"/>
    <col customWidth="1" min="11" max="11" width="10.0"/>
    <col customWidth="1" min="12" max="26" width="7.63"/>
  </cols>
  <sheetData>
    <row r="1" ht="17.25" customHeight="1">
      <c r="B1" s="1" t="s">
        <v>0</v>
      </c>
    </row>
    <row r="2" ht="42.0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ht="17.25" customHeight="1">
      <c r="B3" s="3" t="s">
        <v>11</v>
      </c>
      <c r="C3" s="4">
        <v>2233.0</v>
      </c>
      <c r="D3" s="5">
        <v>8.0</v>
      </c>
      <c r="E3" s="5">
        <v>3.0</v>
      </c>
      <c r="F3" s="6">
        <f t="shared" ref="F3:F382" si="1">IFERROR((E3/D3),0)</f>
        <v>0.375</v>
      </c>
      <c r="G3" s="4">
        <f t="shared" ref="G3:G382" si="2">IFERROR((C3/E3),0)</f>
        <v>744.3333333</v>
      </c>
      <c r="H3" s="4">
        <f t="shared" ref="H3:H382" si="3">IFERROR((C3/I3),0)</f>
        <v>0</v>
      </c>
      <c r="I3" s="5">
        <v>0.0</v>
      </c>
      <c r="J3" s="5">
        <v>0.0</v>
      </c>
      <c r="K3" s="6">
        <f t="shared" ref="K3:K382" si="4">IFERROR((J3/C3),0)</f>
        <v>0</v>
      </c>
    </row>
    <row r="4" ht="17.25" customHeight="1">
      <c r="B4" s="3" t="s">
        <v>12</v>
      </c>
      <c r="C4" s="4">
        <v>902.0</v>
      </c>
      <c r="D4" s="5">
        <v>4.0</v>
      </c>
      <c r="E4" s="5">
        <v>1.0</v>
      </c>
      <c r="F4" s="6">
        <f t="shared" si="1"/>
        <v>0.25</v>
      </c>
      <c r="G4" s="4">
        <f t="shared" si="2"/>
        <v>902</v>
      </c>
      <c r="H4" s="4">
        <f t="shared" si="3"/>
        <v>0</v>
      </c>
      <c r="I4" s="5">
        <v>0.0</v>
      </c>
      <c r="J4" s="5">
        <v>0.0</v>
      </c>
      <c r="K4" s="6">
        <f t="shared" si="4"/>
        <v>0</v>
      </c>
    </row>
    <row r="5" ht="17.25" customHeight="1">
      <c r="B5" s="3" t="s">
        <v>13</v>
      </c>
      <c r="C5" s="4">
        <v>1936.0</v>
      </c>
      <c r="D5" s="5">
        <v>6.0</v>
      </c>
      <c r="E5" s="5">
        <v>2.0</v>
      </c>
      <c r="F5" s="6">
        <f t="shared" si="1"/>
        <v>0.3333333333</v>
      </c>
      <c r="G5" s="4">
        <f t="shared" si="2"/>
        <v>968</v>
      </c>
      <c r="H5" s="4">
        <f t="shared" si="3"/>
        <v>0</v>
      </c>
      <c r="I5" s="5">
        <v>0.0</v>
      </c>
      <c r="J5" s="5">
        <v>0.0</v>
      </c>
      <c r="K5" s="6">
        <f t="shared" si="4"/>
        <v>0</v>
      </c>
    </row>
    <row r="6" ht="17.25" customHeight="1">
      <c r="B6" s="3" t="s">
        <v>14</v>
      </c>
      <c r="C6" s="4">
        <v>32296.0</v>
      </c>
      <c r="D6" s="5">
        <v>298.0</v>
      </c>
      <c r="E6" s="5">
        <v>17.0</v>
      </c>
      <c r="F6" s="6">
        <f t="shared" si="1"/>
        <v>0.05704697987</v>
      </c>
      <c r="G6" s="4">
        <f t="shared" si="2"/>
        <v>1899.764706</v>
      </c>
      <c r="H6" s="4">
        <f t="shared" si="3"/>
        <v>0</v>
      </c>
      <c r="I6" s="5">
        <v>0.0</v>
      </c>
      <c r="J6" s="5">
        <v>0.0</v>
      </c>
      <c r="K6" s="6">
        <f t="shared" si="4"/>
        <v>0</v>
      </c>
    </row>
    <row r="7" ht="17.25" customHeight="1">
      <c r="B7" s="3" t="s">
        <v>15</v>
      </c>
      <c r="C7" s="4">
        <v>1452.0</v>
      </c>
      <c r="D7" s="5">
        <v>5.0</v>
      </c>
      <c r="E7" s="5">
        <v>2.0</v>
      </c>
      <c r="F7" s="6">
        <f t="shared" si="1"/>
        <v>0.4</v>
      </c>
      <c r="G7" s="4">
        <f t="shared" si="2"/>
        <v>726</v>
      </c>
      <c r="H7" s="4">
        <f t="shared" si="3"/>
        <v>0</v>
      </c>
      <c r="I7" s="5">
        <v>0.0</v>
      </c>
      <c r="J7" s="5">
        <v>0.0</v>
      </c>
      <c r="K7" s="6">
        <f t="shared" si="4"/>
        <v>0</v>
      </c>
    </row>
    <row r="8" ht="17.25" customHeight="1">
      <c r="B8" s="3" t="s">
        <v>16</v>
      </c>
      <c r="C8" s="4">
        <v>336633.0</v>
      </c>
      <c r="D8" s="5">
        <v>7703.0</v>
      </c>
      <c r="E8" s="5">
        <v>128.0</v>
      </c>
      <c r="F8" s="6">
        <f t="shared" si="1"/>
        <v>0.01661690251</v>
      </c>
      <c r="G8" s="4">
        <f t="shared" si="2"/>
        <v>2629.945313</v>
      </c>
      <c r="H8" s="4">
        <f t="shared" si="3"/>
        <v>37403.66667</v>
      </c>
      <c r="I8" s="5">
        <v>9.0</v>
      </c>
      <c r="J8" s="5">
        <v>1987000.0</v>
      </c>
      <c r="K8" s="6">
        <f t="shared" si="4"/>
        <v>5.902570455</v>
      </c>
    </row>
    <row r="9" ht="17.25" customHeight="1">
      <c r="B9" s="3" t="s">
        <v>17</v>
      </c>
      <c r="C9" s="4">
        <v>2552.0</v>
      </c>
      <c r="D9" s="5">
        <v>23.0</v>
      </c>
      <c r="E9" s="5">
        <v>2.0</v>
      </c>
      <c r="F9" s="6">
        <f t="shared" si="1"/>
        <v>0.08695652174</v>
      </c>
      <c r="G9" s="4">
        <f t="shared" si="2"/>
        <v>1276</v>
      </c>
      <c r="H9" s="4">
        <f t="shared" si="3"/>
        <v>0</v>
      </c>
      <c r="I9" s="5">
        <v>0.0</v>
      </c>
      <c r="J9" s="5">
        <v>0.0</v>
      </c>
      <c r="K9" s="6">
        <f t="shared" si="4"/>
        <v>0</v>
      </c>
    </row>
    <row r="10" ht="17.25" customHeight="1">
      <c r="B10" s="3" t="s">
        <v>18</v>
      </c>
      <c r="C10" s="4">
        <v>1441.0</v>
      </c>
      <c r="D10" s="5">
        <v>15.0</v>
      </c>
      <c r="E10" s="5">
        <v>1.0</v>
      </c>
      <c r="F10" s="6">
        <f t="shared" si="1"/>
        <v>0.06666666667</v>
      </c>
      <c r="G10" s="4">
        <f t="shared" si="2"/>
        <v>1441</v>
      </c>
      <c r="H10" s="4">
        <f t="shared" si="3"/>
        <v>0</v>
      </c>
      <c r="I10" s="5">
        <v>0.0</v>
      </c>
      <c r="J10" s="5">
        <v>0.0</v>
      </c>
      <c r="K10" s="6">
        <f t="shared" si="4"/>
        <v>0</v>
      </c>
    </row>
    <row r="11" ht="17.25" customHeight="1">
      <c r="B11" s="3" t="s">
        <v>19</v>
      </c>
      <c r="C11" s="4">
        <v>17204.0</v>
      </c>
      <c r="D11" s="5">
        <v>766.0</v>
      </c>
      <c r="E11" s="5">
        <v>12.0</v>
      </c>
      <c r="F11" s="6">
        <f t="shared" si="1"/>
        <v>0.01566579634</v>
      </c>
      <c r="G11" s="4">
        <f t="shared" si="2"/>
        <v>1433.666667</v>
      </c>
      <c r="H11" s="4">
        <f t="shared" si="3"/>
        <v>17204</v>
      </c>
      <c r="I11" s="5">
        <v>1.0</v>
      </c>
      <c r="J11" s="5">
        <v>0.0</v>
      </c>
      <c r="K11" s="6">
        <f t="shared" si="4"/>
        <v>0</v>
      </c>
    </row>
    <row r="12" ht="17.25" customHeight="1">
      <c r="B12" s="3" t="s">
        <v>20</v>
      </c>
      <c r="C12" s="4">
        <v>142098.0</v>
      </c>
      <c r="D12" s="5">
        <v>1122.0</v>
      </c>
      <c r="E12" s="5">
        <v>26.0</v>
      </c>
      <c r="F12" s="6">
        <f t="shared" si="1"/>
        <v>0.02317290553</v>
      </c>
      <c r="G12" s="4">
        <f t="shared" si="2"/>
        <v>5465.307692</v>
      </c>
      <c r="H12" s="4">
        <f t="shared" si="3"/>
        <v>0</v>
      </c>
      <c r="I12" s="5">
        <v>0.0</v>
      </c>
      <c r="J12" s="5">
        <v>0.0</v>
      </c>
      <c r="K12" s="6">
        <f t="shared" si="4"/>
        <v>0</v>
      </c>
    </row>
    <row r="13" ht="17.25" customHeight="1">
      <c r="B13" s="3" t="s">
        <v>21</v>
      </c>
      <c r="C13" s="4">
        <v>5599.0</v>
      </c>
      <c r="D13" s="5">
        <v>111.0</v>
      </c>
      <c r="E13" s="5">
        <v>4.0</v>
      </c>
      <c r="F13" s="6">
        <f t="shared" si="1"/>
        <v>0.03603603604</v>
      </c>
      <c r="G13" s="4">
        <f t="shared" si="2"/>
        <v>1399.75</v>
      </c>
      <c r="H13" s="4">
        <f t="shared" si="3"/>
        <v>0</v>
      </c>
      <c r="I13" s="5">
        <v>0.0</v>
      </c>
      <c r="J13" s="5">
        <v>0.0</v>
      </c>
      <c r="K13" s="6">
        <f t="shared" si="4"/>
        <v>0</v>
      </c>
    </row>
    <row r="14" ht="17.25" customHeight="1">
      <c r="B14" s="3" t="s">
        <v>22</v>
      </c>
      <c r="C14" s="4">
        <v>29227.0</v>
      </c>
      <c r="D14" s="5">
        <v>358.0</v>
      </c>
      <c r="E14" s="5">
        <v>13.0</v>
      </c>
      <c r="F14" s="6">
        <f t="shared" si="1"/>
        <v>0.03631284916</v>
      </c>
      <c r="G14" s="4">
        <f t="shared" si="2"/>
        <v>2248.230769</v>
      </c>
      <c r="H14" s="4">
        <f t="shared" si="3"/>
        <v>0</v>
      </c>
      <c r="I14" s="5">
        <v>0.0</v>
      </c>
      <c r="J14" s="5">
        <v>0.0</v>
      </c>
      <c r="K14" s="6">
        <f t="shared" si="4"/>
        <v>0</v>
      </c>
    </row>
    <row r="15" ht="17.25" customHeight="1">
      <c r="B15" s="3" t="s">
        <v>23</v>
      </c>
      <c r="C15" s="4">
        <v>990.0</v>
      </c>
      <c r="D15" s="5">
        <v>10.0</v>
      </c>
      <c r="E15" s="5">
        <v>1.0</v>
      </c>
      <c r="F15" s="6">
        <f t="shared" si="1"/>
        <v>0.1</v>
      </c>
      <c r="G15" s="4">
        <f t="shared" si="2"/>
        <v>990</v>
      </c>
      <c r="H15" s="4">
        <f t="shared" si="3"/>
        <v>0</v>
      </c>
      <c r="I15" s="5">
        <v>0.0</v>
      </c>
      <c r="J15" s="5">
        <v>0.0</v>
      </c>
      <c r="K15" s="6">
        <f t="shared" si="4"/>
        <v>0</v>
      </c>
    </row>
    <row r="16" ht="17.25" customHeight="1">
      <c r="B16" s="3" t="s">
        <v>24</v>
      </c>
      <c r="C16" s="4">
        <v>1309.0</v>
      </c>
      <c r="D16" s="5">
        <v>6.0</v>
      </c>
      <c r="E16" s="5">
        <v>2.0</v>
      </c>
      <c r="F16" s="6">
        <f t="shared" si="1"/>
        <v>0.3333333333</v>
      </c>
      <c r="G16" s="4">
        <f t="shared" si="2"/>
        <v>654.5</v>
      </c>
      <c r="H16" s="4">
        <f t="shared" si="3"/>
        <v>0</v>
      </c>
      <c r="I16" s="5">
        <v>0.0</v>
      </c>
      <c r="J16" s="5">
        <v>0.0</v>
      </c>
      <c r="K16" s="6">
        <f t="shared" si="4"/>
        <v>0</v>
      </c>
    </row>
    <row r="17" ht="17.25" customHeight="1">
      <c r="B17" s="3" t="s">
        <v>25</v>
      </c>
      <c r="C17" s="4">
        <v>2420.0</v>
      </c>
      <c r="D17" s="5">
        <v>20.0</v>
      </c>
      <c r="E17" s="5">
        <v>3.0</v>
      </c>
      <c r="F17" s="6">
        <f t="shared" si="1"/>
        <v>0.15</v>
      </c>
      <c r="G17" s="4">
        <f t="shared" si="2"/>
        <v>806.6666667</v>
      </c>
      <c r="H17" s="4">
        <f t="shared" si="3"/>
        <v>0</v>
      </c>
      <c r="I17" s="5">
        <v>0.0</v>
      </c>
      <c r="J17" s="5">
        <v>0.0</v>
      </c>
      <c r="K17" s="6">
        <f t="shared" si="4"/>
        <v>0</v>
      </c>
    </row>
    <row r="18" ht="17.25" customHeight="1">
      <c r="B18" s="3" t="s">
        <v>26</v>
      </c>
      <c r="C18" s="4">
        <v>25718.0</v>
      </c>
      <c r="D18" s="5">
        <v>181.0</v>
      </c>
      <c r="E18" s="5">
        <v>14.0</v>
      </c>
      <c r="F18" s="6">
        <f t="shared" si="1"/>
        <v>0.0773480663</v>
      </c>
      <c r="G18" s="4">
        <f t="shared" si="2"/>
        <v>1837</v>
      </c>
      <c r="H18" s="4">
        <f t="shared" si="3"/>
        <v>8572.666667</v>
      </c>
      <c r="I18" s="5">
        <v>3.0</v>
      </c>
      <c r="J18" s="5">
        <v>0.0</v>
      </c>
      <c r="K18" s="6">
        <f t="shared" si="4"/>
        <v>0</v>
      </c>
    </row>
    <row r="19" ht="17.25" customHeight="1">
      <c r="B19" s="3" t="s">
        <v>27</v>
      </c>
      <c r="C19" s="4">
        <v>36883.0</v>
      </c>
      <c r="D19" s="5">
        <v>828.0</v>
      </c>
      <c r="E19" s="5">
        <v>23.0</v>
      </c>
      <c r="F19" s="6">
        <f t="shared" si="1"/>
        <v>0.02777777778</v>
      </c>
      <c r="G19" s="4">
        <f t="shared" si="2"/>
        <v>1603.608696</v>
      </c>
      <c r="H19" s="4">
        <f t="shared" si="3"/>
        <v>36883</v>
      </c>
      <c r="I19" s="5">
        <v>1.0</v>
      </c>
      <c r="J19" s="5">
        <v>0.0</v>
      </c>
      <c r="K19" s="6">
        <f t="shared" si="4"/>
        <v>0</v>
      </c>
    </row>
    <row r="20" ht="17.25" customHeight="1">
      <c r="B20" s="3" t="s">
        <v>28</v>
      </c>
      <c r="C20" s="4">
        <v>759.0</v>
      </c>
      <c r="D20" s="5">
        <v>7.0</v>
      </c>
      <c r="E20" s="5">
        <v>1.0</v>
      </c>
      <c r="F20" s="6">
        <f t="shared" si="1"/>
        <v>0.1428571429</v>
      </c>
      <c r="G20" s="4">
        <f t="shared" si="2"/>
        <v>759</v>
      </c>
      <c r="H20" s="4">
        <f t="shared" si="3"/>
        <v>0</v>
      </c>
      <c r="I20" s="5">
        <v>0.0</v>
      </c>
      <c r="J20" s="5">
        <v>0.0</v>
      </c>
      <c r="K20" s="6">
        <f t="shared" si="4"/>
        <v>0</v>
      </c>
    </row>
    <row r="21" ht="17.25" customHeight="1">
      <c r="B21" s="3" t="s">
        <v>29</v>
      </c>
      <c r="C21" s="4">
        <v>44374.0</v>
      </c>
      <c r="D21" s="5">
        <v>1724.0</v>
      </c>
      <c r="E21" s="5">
        <v>37.0</v>
      </c>
      <c r="F21" s="6">
        <f t="shared" si="1"/>
        <v>0.02146171694</v>
      </c>
      <c r="G21" s="4">
        <f t="shared" si="2"/>
        <v>1199.297297</v>
      </c>
      <c r="H21" s="4">
        <f t="shared" si="3"/>
        <v>44374</v>
      </c>
      <c r="I21" s="5">
        <v>1.0</v>
      </c>
      <c r="J21" s="5">
        <v>0.0</v>
      </c>
      <c r="K21" s="6">
        <f t="shared" si="4"/>
        <v>0</v>
      </c>
    </row>
    <row r="22" ht="17.25" customHeight="1">
      <c r="B22" s="3" t="s">
        <v>30</v>
      </c>
      <c r="C22" s="4">
        <v>35090.0</v>
      </c>
      <c r="D22" s="5">
        <v>240.0</v>
      </c>
      <c r="E22" s="5">
        <v>21.0</v>
      </c>
      <c r="F22" s="6">
        <f t="shared" si="1"/>
        <v>0.0875</v>
      </c>
      <c r="G22" s="4">
        <f t="shared" si="2"/>
        <v>1670.952381</v>
      </c>
      <c r="H22" s="4">
        <f t="shared" si="3"/>
        <v>17545</v>
      </c>
      <c r="I22" s="5">
        <v>2.0</v>
      </c>
      <c r="J22" s="5">
        <v>0.0</v>
      </c>
      <c r="K22" s="6">
        <f t="shared" si="4"/>
        <v>0</v>
      </c>
    </row>
    <row r="23" ht="17.25" customHeight="1">
      <c r="B23" s="3" t="s">
        <v>31</v>
      </c>
      <c r="C23" s="4">
        <v>737.0</v>
      </c>
      <c r="D23" s="5">
        <v>7.0</v>
      </c>
      <c r="E23" s="5">
        <v>1.0</v>
      </c>
      <c r="F23" s="6">
        <f t="shared" si="1"/>
        <v>0.1428571429</v>
      </c>
      <c r="G23" s="4">
        <f t="shared" si="2"/>
        <v>737</v>
      </c>
      <c r="H23" s="4">
        <f t="shared" si="3"/>
        <v>0</v>
      </c>
      <c r="I23" s="5">
        <v>0.0</v>
      </c>
      <c r="J23" s="5">
        <v>0.0</v>
      </c>
      <c r="K23" s="6">
        <f t="shared" si="4"/>
        <v>0</v>
      </c>
    </row>
    <row r="24" ht="17.25" customHeight="1">
      <c r="B24" s="3" t="s">
        <v>32</v>
      </c>
      <c r="C24" s="4">
        <v>98406.0</v>
      </c>
      <c r="D24" s="5">
        <v>4504.0</v>
      </c>
      <c r="E24" s="5">
        <v>44.0</v>
      </c>
      <c r="F24" s="6">
        <f t="shared" si="1"/>
        <v>0.009769094139</v>
      </c>
      <c r="G24" s="4">
        <f t="shared" si="2"/>
        <v>2236.5</v>
      </c>
      <c r="H24" s="4">
        <f t="shared" si="3"/>
        <v>0</v>
      </c>
      <c r="I24" s="5">
        <v>0.0</v>
      </c>
      <c r="J24" s="5">
        <v>0.0</v>
      </c>
      <c r="K24" s="6">
        <f t="shared" si="4"/>
        <v>0</v>
      </c>
    </row>
    <row r="25" ht="17.25" customHeight="1">
      <c r="B25" s="3" t="s">
        <v>33</v>
      </c>
      <c r="C25" s="4">
        <v>82874.0</v>
      </c>
      <c r="D25" s="5">
        <v>3150.0</v>
      </c>
      <c r="E25" s="5">
        <v>36.0</v>
      </c>
      <c r="F25" s="6">
        <f t="shared" si="1"/>
        <v>0.01142857143</v>
      </c>
      <c r="G25" s="4">
        <f t="shared" si="2"/>
        <v>2302.055556</v>
      </c>
      <c r="H25" s="4">
        <f t="shared" si="3"/>
        <v>0</v>
      </c>
      <c r="I25" s="5">
        <v>0.0</v>
      </c>
      <c r="J25" s="5">
        <v>0.0</v>
      </c>
      <c r="K25" s="6">
        <f t="shared" si="4"/>
        <v>0</v>
      </c>
    </row>
    <row r="26" ht="17.25" customHeight="1">
      <c r="B26" s="3" t="s">
        <v>34</v>
      </c>
      <c r="C26" s="4">
        <v>2167.0</v>
      </c>
      <c r="D26" s="5">
        <v>6.0</v>
      </c>
      <c r="E26" s="5">
        <v>1.0</v>
      </c>
      <c r="F26" s="6">
        <f t="shared" si="1"/>
        <v>0.1666666667</v>
      </c>
      <c r="G26" s="4">
        <f t="shared" si="2"/>
        <v>2167</v>
      </c>
      <c r="H26" s="4">
        <f t="shared" si="3"/>
        <v>0</v>
      </c>
      <c r="I26" s="5">
        <v>0.0</v>
      </c>
      <c r="J26" s="5">
        <v>0.0</v>
      </c>
      <c r="K26" s="6">
        <f t="shared" si="4"/>
        <v>0</v>
      </c>
    </row>
    <row r="27" ht="17.25" customHeight="1">
      <c r="B27" s="3" t="s">
        <v>35</v>
      </c>
      <c r="C27" s="4">
        <v>5830.0</v>
      </c>
      <c r="D27" s="5">
        <v>55.0</v>
      </c>
      <c r="E27" s="5">
        <v>4.0</v>
      </c>
      <c r="F27" s="6">
        <f t="shared" si="1"/>
        <v>0.07272727273</v>
      </c>
      <c r="G27" s="4">
        <f t="shared" si="2"/>
        <v>1457.5</v>
      </c>
      <c r="H27" s="4">
        <f t="shared" si="3"/>
        <v>0</v>
      </c>
      <c r="I27" s="5">
        <v>0.0</v>
      </c>
      <c r="J27" s="5">
        <v>0.0</v>
      </c>
      <c r="K27" s="6">
        <f t="shared" si="4"/>
        <v>0</v>
      </c>
    </row>
    <row r="28" ht="17.25" customHeight="1">
      <c r="B28" s="3" t="s">
        <v>36</v>
      </c>
      <c r="C28" s="4">
        <v>803.0</v>
      </c>
      <c r="D28" s="5">
        <v>115.0</v>
      </c>
      <c r="E28" s="5">
        <v>1.0</v>
      </c>
      <c r="F28" s="6">
        <f t="shared" si="1"/>
        <v>0.008695652174</v>
      </c>
      <c r="G28" s="4">
        <f t="shared" si="2"/>
        <v>803</v>
      </c>
      <c r="H28" s="4">
        <f t="shared" si="3"/>
        <v>0</v>
      </c>
      <c r="I28" s="5">
        <v>0.0</v>
      </c>
      <c r="J28" s="5">
        <v>0.0</v>
      </c>
      <c r="K28" s="6">
        <f t="shared" si="4"/>
        <v>0</v>
      </c>
    </row>
    <row r="29" ht="17.25" customHeight="1">
      <c r="B29" s="3" t="s">
        <v>37</v>
      </c>
      <c r="C29" s="4">
        <v>5335.0</v>
      </c>
      <c r="D29" s="5">
        <v>38.0</v>
      </c>
      <c r="E29" s="5">
        <v>4.0</v>
      </c>
      <c r="F29" s="6">
        <f t="shared" si="1"/>
        <v>0.1052631579</v>
      </c>
      <c r="G29" s="4">
        <f t="shared" si="2"/>
        <v>1333.75</v>
      </c>
      <c r="H29" s="4">
        <f t="shared" si="3"/>
        <v>0</v>
      </c>
      <c r="I29" s="5">
        <v>0.0</v>
      </c>
      <c r="J29" s="5">
        <v>0.0</v>
      </c>
      <c r="K29" s="6">
        <f t="shared" si="4"/>
        <v>0</v>
      </c>
    </row>
    <row r="30" ht="17.25" customHeight="1">
      <c r="B30" s="3" t="s">
        <v>38</v>
      </c>
      <c r="C30" s="4">
        <v>7997.0</v>
      </c>
      <c r="D30" s="5">
        <v>120.0</v>
      </c>
      <c r="E30" s="5">
        <v>4.0</v>
      </c>
      <c r="F30" s="6">
        <f t="shared" si="1"/>
        <v>0.03333333333</v>
      </c>
      <c r="G30" s="4">
        <f t="shared" si="2"/>
        <v>1999.25</v>
      </c>
      <c r="H30" s="4">
        <f t="shared" si="3"/>
        <v>0</v>
      </c>
      <c r="I30" s="5">
        <v>0.0</v>
      </c>
      <c r="J30" s="5">
        <v>0.0</v>
      </c>
      <c r="K30" s="6">
        <f t="shared" si="4"/>
        <v>0</v>
      </c>
    </row>
    <row r="31" ht="17.25" customHeight="1">
      <c r="B31" s="3" t="s">
        <v>39</v>
      </c>
      <c r="C31" s="4">
        <v>5874.0</v>
      </c>
      <c r="D31" s="5">
        <v>9.0</v>
      </c>
      <c r="E31" s="5">
        <v>1.0</v>
      </c>
      <c r="F31" s="6">
        <f t="shared" si="1"/>
        <v>0.1111111111</v>
      </c>
      <c r="G31" s="4">
        <f t="shared" si="2"/>
        <v>5874</v>
      </c>
      <c r="H31" s="4">
        <f t="shared" si="3"/>
        <v>0</v>
      </c>
      <c r="I31" s="5">
        <v>0.0</v>
      </c>
      <c r="J31" s="5">
        <v>0.0</v>
      </c>
      <c r="K31" s="6">
        <f t="shared" si="4"/>
        <v>0</v>
      </c>
    </row>
    <row r="32" ht="17.25" customHeight="1">
      <c r="B32" s="3" t="s">
        <v>40</v>
      </c>
      <c r="C32" s="4">
        <v>10252.0</v>
      </c>
      <c r="D32" s="5">
        <v>31.0</v>
      </c>
      <c r="E32" s="5">
        <v>3.0</v>
      </c>
      <c r="F32" s="6">
        <f t="shared" si="1"/>
        <v>0.09677419355</v>
      </c>
      <c r="G32" s="4">
        <f t="shared" si="2"/>
        <v>3417.333333</v>
      </c>
      <c r="H32" s="4">
        <f t="shared" si="3"/>
        <v>0</v>
      </c>
      <c r="I32" s="5">
        <v>0.0</v>
      </c>
      <c r="J32" s="5">
        <v>0.0</v>
      </c>
      <c r="K32" s="6">
        <f t="shared" si="4"/>
        <v>0</v>
      </c>
    </row>
    <row r="33" ht="17.25" customHeight="1">
      <c r="B33" s="3" t="s">
        <v>41</v>
      </c>
      <c r="C33" s="4">
        <v>4829.0</v>
      </c>
      <c r="D33" s="5">
        <v>5.0</v>
      </c>
      <c r="E33" s="5">
        <v>1.0</v>
      </c>
      <c r="F33" s="6">
        <f t="shared" si="1"/>
        <v>0.2</v>
      </c>
      <c r="G33" s="4">
        <f t="shared" si="2"/>
        <v>4829</v>
      </c>
      <c r="H33" s="4">
        <f t="shared" si="3"/>
        <v>0</v>
      </c>
      <c r="I33" s="5">
        <v>0.0</v>
      </c>
      <c r="J33" s="5">
        <v>0.0</v>
      </c>
      <c r="K33" s="6">
        <f t="shared" si="4"/>
        <v>0</v>
      </c>
    </row>
    <row r="34" ht="17.25" customHeight="1">
      <c r="B34" s="3" t="s">
        <v>42</v>
      </c>
      <c r="C34" s="4">
        <v>37026.0</v>
      </c>
      <c r="D34" s="5">
        <v>1582.0</v>
      </c>
      <c r="E34" s="5">
        <v>13.0</v>
      </c>
      <c r="F34" s="6">
        <f t="shared" si="1"/>
        <v>0.008217446271</v>
      </c>
      <c r="G34" s="4">
        <f t="shared" si="2"/>
        <v>2848.153846</v>
      </c>
      <c r="H34" s="4">
        <f t="shared" si="3"/>
        <v>0</v>
      </c>
      <c r="I34" s="5">
        <v>0.0</v>
      </c>
      <c r="J34" s="5">
        <v>0.0</v>
      </c>
      <c r="K34" s="6">
        <f t="shared" si="4"/>
        <v>0</v>
      </c>
    </row>
    <row r="35" ht="17.25" customHeight="1">
      <c r="B35" s="3" t="s">
        <v>43</v>
      </c>
      <c r="C35" s="4">
        <v>54274.0</v>
      </c>
      <c r="D35" s="5">
        <v>4824.0</v>
      </c>
      <c r="E35" s="5">
        <v>43.0</v>
      </c>
      <c r="F35" s="6">
        <f t="shared" si="1"/>
        <v>0.008913764511</v>
      </c>
      <c r="G35" s="4">
        <f t="shared" si="2"/>
        <v>1262.186047</v>
      </c>
      <c r="H35" s="4">
        <f t="shared" si="3"/>
        <v>18091.33333</v>
      </c>
      <c r="I35" s="5">
        <v>3.0</v>
      </c>
      <c r="J35" s="5">
        <v>0.0</v>
      </c>
      <c r="K35" s="6">
        <f t="shared" si="4"/>
        <v>0</v>
      </c>
    </row>
    <row r="36" ht="17.25" customHeight="1">
      <c r="B36" s="3" t="s">
        <v>44</v>
      </c>
      <c r="C36" s="4">
        <v>43736.0</v>
      </c>
      <c r="D36" s="5">
        <v>3076.0</v>
      </c>
      <c r="E36" s="5">
        <v>35.0</v>
      </c>
      <c r="F36" s="6">
        <f t="shared" si="1"/>
        <v>0.01137841352</v>
      </c>
      <c r="G36" s="4">
        <f t="shared" si="2"/>
        <v>1249.6</v>
      </c>
      <c r="H36" s="4">
        <f t="shared" si="3"/>
        <v>43736</v>
      </c>
      <c r="I36" s="5">
        <v>1.0</v>
      </c>
      <c r="J36" s="5">
        <v>0.0</v>
      </c>
      <c r="K36" s="6">
        <f t="shared" si="4"/>
        <v>0</v>
      </c>
    </row>
    <row r="37" ht="17.25" customHeight="1">
      <c r="B37" s="3" t="s">
        <v>45</v>
      </c>
      <c r="C37" s="4">
        <v>77.0</v>
      </c>
      <c r="D37" s="5">
        <v>18.0</v>
      </c>
      <c r="E37" s="5">
        <v>1.0</v>
      </c>
      <c r="F37" s="6">
        <f t="shared" si="1"/>
        <v>0.05555555556</v>
      </c>
      <c r="G37" s="4">
        <f t="shared" si="2"/>
        <v>77</v>
      </c>
      <c r="H37" s="4">
        <f t="shared" si="3"/>
        <v>0</v>
      </c>
      <c r="I37" s="5">
        <v>0.0</v>
      </c>
      <c r="J37" s="5">
        <v>0.0</v>
      </c>
      <c r="K37" s="6">
        <f t="shared" si="4"/>
        <v>0</v>
      </c>
    </row>
    <row r="38" ht="17.25" customHeight="1">
      <c r="B38" s="3" t="s">
        <v>46</v>
      </c>
      <c r="C38" s="4">
        <v>3938.0</v>
      </c>
      <c r="D38" s="5">
        <v>170.0</v>
      </c>
      <c r="E38" s="5">
        <v>4.0</v>
      </c>
      <c r="F38" s="6">
        <f t="shared" si="1"/>
        <v>0.02352941176</v>
      </c>
      <c r="G38" s="4">
        <f t="shared" si="2"/>
        <v>984.5</v>
      </c>
      <c r="H38" s="4">
        <f t="shared" si="3"/>
        <v>0</v>
      </c>
      <c r="I38" s="5">
        <v>0.0</v>
      </c>
      <c r="J38" s="5">
        <v>0.0</v>
      </c>
      <c r="K38" s="6">
        <f t="shared" si="4"/>
        <v>0</v>
      </c>
    </row>
    <row r="39" ht="17.25" customHeight="1">
      <c r="B39" s="3" t="s">
        <v>47</v>
      </c>
      <c r="C39" s="4">
        <v>1364.0</v>
      </c>
      <c r="D39" s="5">
        <v>138.0</v>
      </c>
      <c r="E39" s="5">
        <v>3.0</v>
      </c>
      <c r="F39" s="6">
        <f t="shared" si="1"/>
        <v>0.02173913043</v>
      </c>
      <c r="G39" s="4">
        <f t="shared" si="2"/>
        <v>454.6666667</v>
      </c>
      <c r="H39" s="4">
        <f t="shared" si="3"/>
        <v>0</v>
      </c>
      <c r="I39" s="5">
        <v>0.0</v>
      </c>
      <c r="J39" s="5">
        <v>0.0</v>
      </c>
      <c r="K39" s="6">
        <f t="shared" si="4"/>
        <v>0</v>
      </c>
    </row>
    <row r="40" ht="17.25" customHeight="1">
      <c r="B40" s="3" t="s">
        <v>48</v>
      </c>
      <c r="C40" s="4">
        <v>26279.0</v>
      </c>
      <c r="D40" s="5">
        <v>167.0</v>
      </c>
      <c r="E40" s="5">
        <v>9.0</v>
      </c>
      <c r="F40" s="6">
        <f t="shared" si="1"/>
        <v>0.05389221557</v>
      </c>
      <c r="G40" s="4">
        <f t="shared" si="2"/>
        <v>2919.888889</v>
      </c>
      <c r="H40" s="4">
        <f t="shared" si="3"/>
        <v>0</v>
      </c>
      <c r="I40" s="5">
        <v>0.0</v>
      </c>
      <c r="J40" s="5">
        <v>0.0</v>
      </c>
      <c r="K40" s="6">
        <f t="shared" si="4"/>
        <v>0</v>
      </c>
    </row>
    <row r="41" ht="17.25" customHeight="1">
      <c r="B41" s="3" t="s">
        <v>49</v>
      </c>
      <c r="C41" s="4">
        <v>286.0</v>
      </c>
      <c r="D41" s="5">
        <v>8.0</v>
      </c>
      <c r="E41" s="5">
        <v>1.0</v>
      </c>
      <c r="F41" s="6">
        <f t="shared" si="1"/>
        <v>0.125</v>
      </c>
      <c r="G41" s="4">
        <f t="shared" si="2"/>
        <v>286</v>
      </c>
      <c r="H41" s="4">
        <f t="shared" si="3"/>
        <v>0</v>
      </c>
      <c r="I41" s="5">
        <v>0.0</v>
      </c>
      <c r="J41" s="5">
        <v>0.0</v>
      </c>
      <c r="K41" s="6">
        <f t="shared" si="4"/>
        <v>0</v>
      </c>
    </row>
    <row r="42" ht="17.25" customHeight="1">
      <c r="B42" s="3" t="s">
        <v>50</v>
      </c>
      <c r="C42" s="4">
        <v>9900.0</v>
      </c>
      <c r="D42" s="5">
        <v>33.0</v>
      </c>
      <c r="E42" s="5">
        <v>6.0</v>
      </c>
      <c r="F42" s="6">
        <f t="shared" si="1"/>
        <v>0.1818181818</v>
      </c>
      <c r="G42" s="4">
        <f t="shared" si="2"/>
        <v>1650</v>
      </c>
      <c r="H42" s="4">
        <f t="shared" si="3"/>
        <v>0</v>
      </c>
      <c r="I42" s="5">
        <v>0.0</v>
      </c>
      <c r="J42" s="5">
        <v>0.0</v>
      </c>
      <c r="K42" s="6">
        <f t="shared" si="4"/>
        <v>0</v>
      </c>
    </row>
    <row r="43" ht="17.25" customHeight="1">
      <c r="B43" s="3" t="s">
        <v>51</v>
      </c>
      <c r="C43" s="4">
        <v>94743.0</v>
      </c>
      <c r="D43" s="5">
        <v>7484.0</v>
      </c>
      <c r="E43" s="5">
        <v>43.0</v>
      </c>
      <c r="F43" s="6">
        <f t="shared" si="1"/>
        <v>0.005745590593</v>
      </c>
      <c r="G43" s="4">
        <f t="shared" si="2"/>
        <v>2203.325581</v>
      </c>
      <c r="H43" s="4">
        <f t="shared" si="3"/>
        <v>0</v>
      </c>
      <c r="I43" s="5">
        <v>0.0</v>
      </c>
      <c r="J43" s="5">
        <v>0.0</v>
      </c>
      <c r="K43" s="6">
        <f t="shared" si="4"/>
        <v>0</v>
      </c>
    </row>
    <row r="44" ht="17.25" customHeight="1">
      <c r="B44" s="3" t="s">
        <v>52</v>
      </c>
      <c r="C44" s="4">
        <v>12122.0</v>
      </c>
      <c r="D44" s="5">
        <v>109.0</v>
      </c>
      <c r="E44" s="5">
        <v>11.0</v>
      </c>
      <c r="F44" s="6">
        <f t="shared" si="1"/>
        <v>0.1009174312</v>
      </c>
      <c r="G44" s="4">
        <f t="shared" si="2"/>
        <v>1102</v>
      </c>
      <c r="H44" s="4">
        <f t="shared" si="3"/>
        <v>0</v>
      </c>
      <c r="I44" s="5">
        <v>0.0</v>
      </c>
      <c r="J44" s="5">
        <v>0.0</v>
      </c>
      <c r="K44" s="6">
        <f t="shared" si="4"/>
        <v>0</v>
      </c>
    </row>
    <row r="45" ht="17.25" customHeight="1">
      <c r="B45" s="3" t="s">
        <v>53</v>
      </c>
      <c r="C45" s="4">
        <v>396.0</v>
      </c>
      <c r="D45" s="5">
        <v>5.0</v>
      </c>
      <c r="E45" s="5">
        <v>1.0</v>
      </c>
      <c r="F45" s="6">
        <f t="shared" si="1"/>
        <v>0.2</v>
      </c>
      <c r="G45" s="4">
        <f t="shared" si="2"/>
        <v>396</v>
      </c>
      <c r="H45" s="4">
        <f t="shared" si="3"/>
        <v>0</v>
      </c>
      <c r="I45" s="5">
        <v>0.0</v>
      </c>
      <c r="J45" s="5">
        <v>0.0</v>
      </c>
      <c r="K45" s="6">
        <f t="shared" si="4"/>
        <v>0</v>
      </c>
    </row>
    <row r="46" ht="17.25" customHeight="1">
      <c r="B46" s="3" t="s">
        <v>54</v>
      </c>
      <c r="C46" s="4">
        <v>6336.0</v>
      </c>
      <c r="D46" s="5">
        <v>79.0</v>
      </c>
      <c r="E46" s="5">
        <v>3.0</v>
      </c>
      <c r="F46" s="6">
        <f t="shared" si="1"/>
        <v>0.03797468354</v>
      </c>
      <c r="G46" s="4">
        <f t="shared" si="2"/>
        <v>2112</v>
      </c>
      <c r="H46" s="4">
        <f t="shared" si="3"/>
        <v>3168</v>
      </c>
      <c r="I46" s="5">
        <v>2.0</v>
      </c>
      <c r="J46" s="5">
        <v>0.0</v>
      </c>
      <c r="K46" s="6">
        <f t="shared" si="4"/>
        <v>0</v>
      </c>
    </row>
    <row r="47" ht="17.25" customHeight="1">
      <c r="B47" s="3" t="s">
        <v>55</v>
      </c>
      <c r="C47" s="4">
        <v>11550.0</v>
      </c>
      <c r="D47" s="5">
        <v>1359.0</v>
      </c>
      <c r="E47" s="5">
        <v>9.0</v>
      </c>
      <c r="F47" s="6">
        <f t="shared" si="1"/>
        <v>0.006622516556</v>
      </c>
      <c r="G47" s="4">
        <f t="shared" si="2"/>
        <v>1283.333333</v>
      </c>
      <c r="H47" s="4">
        <f t="shared" si="3"/>
        <v>0</v>
      </c>
      <c r="I47" s="5">
        <v>0.0</v>
      </c>
      <c r="J47" s="5">
        <v>0.0</v>
      </c>
      <c r="K47" s="6">
        <f t="shared" si="4"/>
        <v>0</v>
      </c>
    </row>
    <row r="48" ht="17.25" customHeight="1">
      <c r="B48" s="3" t="s">
        <v>56</v>
      </c>
      <c r="C48" s="4">
        <v>506.0</v>
      </c>
      <c r="D48" s="5">
        <v>19.0</v>
      </c>
      <c r="E48" s="5">
        <v>1.0</v>
      </c>
      <c r="F48" s="6">
        <f t="shared" si="1"/>
        <v>0.05263157895</v>
      </c>
      <c r="G48" s="4">
        <f t="shared" si="2"/>
        <v>506</v>
      </c>
      <c r="H48" s="4">
        <f t="shared" si="3"/>
        <v>0</v>
      </c>
      <c r="I48" s="5">
        <v>0.0</v>
      </c>
      <c r="J48" s="5">
        <v>0.0</v>
      </c>
      <c r="K48" s="6">
        <f t="shared" si="4"/>
        <v>0</v>
      </c>
    </row>
    <row r="49" ht="17.25" customHeight="1">
      <c r="B49" s="3" t="s">
        <v>57</v>
      </c>
      <c r="C49" s="4">
        <v>2068.0</v>
      </c>
      <c r="D49" s="5">
        <v>94.0</v>
      </c>
      <c r="E49" s="5">
        <v>7.0</v>
      </c>
      <c r="F49" s="6">
        <f t="shared" si="1"/>
        <v>0.07446808511</v>
      </c>
      <c r="G49" s="4">
        <f t="shared" si="2"/>
        <v>295.4285714</v>
      </c>
      <c r="H49" s="4">
        <f t="shared" si="3"/>
        <v>413.6</v>
      </c>
      <c r="I49" s="5">
        <v>5.0</v>
      </c>
      <c r="J49" s="5">
        <v>77004.0</v>
      </c>
      <c r="K49" s="6">
        <f t="shared" si="4"/>
        <v>37.23597679</v>
      </c>
    </row>
    <row r="50" ht="17.25" customHeight="1">
      <c r="B50" s="3" t="s">
        <v>58</v>
      </c>
      <c r="C50" s="4">
        <v>77.0</v>
      </c>
      <c r="D50" s="5">
        <v>3.0</v>
      </c>
      <c r="E50" s="5">
        <v>1.0</v>
      </c>
      <c r="F50" s="6">
        <f t="shared" si="1"/>
        <v>0.3333333333</v>
      </c>
      <c r="G50" s="4">
        <f t="shared" si="2"/>
        <v>77</v>
      </c>
      <c r="H50" s="4">
        <f t="shared" si="3"/>
        <v>0</v>
      </c>
      <c r="I50" s="5">
        <v>0.0</v>
      </c>
      <c r="J50" s="5">
        <v>0.0</v>
      </c>
      <c r="K50" s="6">
        <f t="shared" si="4"/>
        <v>0</v>
      </c>
    </row>
    <row r="51" ht="17.25" customHeight="1">
      <c r="B51" s="3" t="s">
        <v>59</v>
      </c>
      <c r="C51" s="4">
        <v>286.0</v>
      </c>
      <c r="D51" s="5">
        <v>12.0</v>
      </c>
      <c r="E51" s="5">
        <v>1.0</v>
      </c>
      <c r="F51" s="6">
        <f t="shared" si="1"/>
        <v>0.08333333333</v>
      </c>
      <c r="G51" s="4">
        <f t="shared" si="2"/>
        <v>286</v>
      </c>
      <c r="H51" s="4">
        <f t="shared" si="3"/>
        <v>0</v>
      </c>
      <c r="I51" s="5">
        <v>0.0</v>
      </c>
      <c r="J51" s="5">
        <v>0.0</v>
      </c>
      <c r="K51" s="6">
        <f t="shared" si="4"/>
        <v>0</v>
      </c>
    </row>
    <row r="52" ht="17.25" customHeight="1">
      <c r="B52" s="3" t="s">
        <v>60</v>
      </c>
      <c r="C52" s="4">
        <v>231792.0</v>
      </c>
      <c r="D52" s="5">
        <v>18616.0</v>
      </c>
      <c r="E52" s="5">
        <v>73.0</v>
      </c>
      <c r="F52" s="6">
        <f t="shared" si="1"/>
        <v>0.003921357972</v>
      </c>
      <c r="G52" s="4">
        <f t="shared" si="2"/>
        <v>3175.232877</v>
      </c>
      <c r="H52" s="4">
        <f t="shared" si="3"/>
        <v>57948</v>
      </c>
      <c r="I52" s="5">
        <v>4.0</v>
      </c>
      <c r="J52" s="5">
        <v>1.4545516E7</v>
      </c>
      <c r="K52" s="6">
        <f t="shared" si="4"/>
        <v>62.75245047</v>
      </c>
    </row>
    <row r="53" ht="17.25" customHeight="1">
      <c r="B53" s="3" t="s">
        <v>61</v>
      </c>
      <c r="C53" s="4">
        <v>1320.0</v>
      </c>
      <c r="D53" s="5">
        <v>2.0</v>
      </c>
      <c r="E53" s="5">
        <v>1.0</v>
      </c>
      <c r="F53" s="6">
        <f t="shared" si="1"/>
        <v>0.5</v>
      </c>
      <c r="G53" s="4">
        <f t="shared" si="2"/>
        <v>1320</v>
      </c>
      <c r="H53" s="4">
        <f t="shared" si="3"/>
        <v>0</v>
      </c>
      <c r="I53" s="5">
        <v>0.0</v>
      </c>
      <c r="J53" s="5">
        <v>0.0</v>
      </c>
      <c r="K53" s="6">
        <f t="shared" si="4"/>
        <v>0</v>
      </c>
    </row>
    <row r="54" ht="17.25" customHeight="1">
      <c r="B54" s="3" t="s">
        <v>62</v>
      </c>
      <c r="C54" s="4">
        <v>344278.0</v>
      </c>
      <c r="D54" s="5">
        <v>17237.0</v>
      </c>
      <c r="E54" s="5">
        <v>115.0</v>
      </c>
      <c r="F54" s="6">
        <f t="shared" si="1"/>
        <v>0.00667169461</v>
      </c>
      <c r="G54" s="4">
        <f t="shared" si="2"/>
        <v>2993.721739</v>
      </c>
      <c r="H54" s="4">
        <f t="shared" si="3"/>
        <v>0</v>
      </c>
      <c r="I54" s="5">
        <v>0.0</v>
      </c>
      <c r="J54" s="5">
        <v>0.0</v>
      </c>
      <c r="K54" s="6">
        <f t="shared" si="4"/>
        <v>0</v>
      </c>
    </row>
    <row r="55" ht="17.25" customHeight="1">
      <c r="B55" s="3" t="s">
        <v>63</v>
      </c>
      <c r="C55" s="4">
        <v>32989.0</v>
      </c>
      <c r="D55" s="5">
        <v>152.0</v>
      </c>
      <c r="E55" s="5">
        <v>10.0</v>
      </c>
      <c r="F55" s="6">
        <f t="shared" si="1"/>
        <v>0.06578947368</v>
      </c>
      <c r="G55" s="4">
        <f t="shared" si="2"/>
        <v>3298.9</v>
      </c>
      <c r="H55" s="4">
        <f t="shared" si="3"/>
        <v>0</v>
      </c>
      <c r="I55" s="5">
        <v>0.0</v>
      </c>
      <c r="J55" s="5">
        <v>0.0</v>
      </c>
      <c r="K55" s="6">
        <f t="shared" si="4"/>
        <v>0</v>
      </c>
    </row>
    <row r="56" ht="17.25" customHeight="1">
      <c r="B56" s="3" t="s">
        <v>64</v>
      </c>
      <c r="C56" s="4">
        <v>47828.0</v>
      </c>
      <c r="D56" s="5">
        <v>1118.0</v>
      </c>
      <c r="E56" s="5">
        <v>20.0</v>
      </c>
      <c r="F56" s="6">
        <f t="shared" si="1"/>
        <v>0.01788908766</v>
      </c>
      <c r="G56" s="4">
        <f t="shared" si="2"/>
        <v>2391.4</v>
      </c>
      <c r="H56" s="4">
        <f t="shared" si="3"/>
        <v>0</v>
      </c>
      <c r="I56" s="5">
        <v>0.0</v>
      </c>
      <c r="J56" s="5">
        <v>0.0</v>
      </c>
      <c r="K56" s="6">
        <f t="shared" si="4"/>
        <v>0</v>
      </c>
    </row>
    <row r="57" ht="17.25" customHeight="1">
      <c r="B57" s="3" t="s">
        <v>65</v>
      </c>
      <c r="C57" s="4">
        <v>682.0</v>
      </c>
      <c r="D57" s="5">
        <v>9.0</v>
      </c>
      <c r="E57" s="5">
        <v>1.0</v>
      </c>
      <c r="F57" s="6">
        <f t="shared" si="1"/>
        <v>0.1111111111</v>
      </c>
      <c r="G57" s="4">
        <f t="shared" si="2"/>
        <v>682</v>
      </c>
      <c r="H57" s="4">
        <f t="shared" si="3"/>
        <v>85.25</v>
      </c>
      <c r="I57" s="5">
        <v>8.0</v>
      </c>
      <c r="J57" s="5">
        <v>325007.0</v>
      </c>
      <c r="K57" s="6">
        <f t="shared" si="4"/>
        <v>476.5498534</v>
      </c>
    </row>
    <row r="58" ht="17.25" customHeight="1">
      <c r="B58" s="3" t="s">
        <v>66</v>
      </c>
      <c r="C58" s="4">
        <v>115940.0</v>
      </c>
      <c r="D58" s="5">
        <v>5103.0</v>
      </c>
      <c r="E58" s="5">
        <v>62.0</v>
      </c>
      <c r="F58" s="6">
        <f t="shared" si="1"/>
        <v>0.01214971585</v>
      </c>
      <c r="G58" s="4">
        <f t="shared" si="2"/>
        <v>1870</v>
      </c>
      <c r="H58" s="4">
        <f t="shared" si="3"/>
        <v>38646.66667</v>
      </c>
      <c r="I58" s="5">
        <v>3.0</v>
      </c>
      <c r="J58" s="5">
        <v>0.0</v>
      </c>
      <c r="K58" s="6">
        <f t="shared" si="4"/>
        <v>0</v>
      </c>
    </row>
    <row r="59" ht="17.25" customHeight="1">
      <c r="B59" s="3" t="s">
        <v>67</v>
      </c>
      <c r="C59" s="4">
        <v>13981.0</v>
      </c>
      <c r="D59" s="5">
        <v>143.0</v>
      </c>
      <c r="E59" s="5">
        <v>7.0</v>
      </c>
      <c r="F59" s="6">
        <f t="shared" si="1"/>
        <v>0.04895104895</v>
      </c>
      <c r="G59" s="4">
        <f t="shared" si="2"/>
        <v>1997.285714</v>
      </c>
      <c r="H59" s="4">
        <f t="shared" si="3"/>
        <v>0</v>
      </c>
      <c r="I59" s="5">
        <v>0.0</v>
      </c>
      <c r="J59" s="5">
        <v>0.0</v>
      </c>
      <c r="K59" s="6">
        <f t="shared" si="4"/>
        <v>0</v>
      </c>
    </row>
    <row r="60" ht="17.25" customHeight="1">
      <c r="B60" s="3" t="s">
        <v>68</v>
      </c>
      <c r="C60" s="4">
        <v>913.0</v>
      </c>
      <c r="D60" s="5">
        <v>4.0</v>
      </c>
      <c r="E60" s="5">
        <v>1.0</v>
      </c>
      <c r="F60" s="6">
        <f t="shared" si="1"/>
        <v>0.25</v>
      </c>
      <c r="G60" s="4">
        <f t="shared" si="2"/>
        <v>913</v>
      </c>
      <c r="H60" s="4">
        <f t="shared" si="3"/>
        <v>0</v>
      </c>
      <c r="I60" s="5">
        <v>0.0</v>
      </c>
      <c r="J60" s="5">
        <v>0.0</v>
      </c>
      <c r="K60" s="6">
        <f t="shared" si="4"/>
        <v>0</v>
      </c>
    </row>
    <row r="61" ht="17.25" customHeight="1">
      <c r="B61" s="3" t="s">
        <v>69</v>
      </c>
      <c r="C61" s="4">
        <v>15477.0</v>
      </c>
      <c r="D61" s="5">
        <v>250.0</v>
      </c>
      <c r="E61" s="5">
        <v>14.0</v>
      </c>
      <c r="F61" s="6">
        <f t="shared" si="1"/>
        <v>0.056</v>
      </c>
      <c r="G61" s="4">
        <f t="shared" si="2"/>
        <v>1105.5</v>
      </c>
      <c r="H61" s="4">
        <f t="shared" si="3"/>
        <v>0</v>
      </c>
      <c r="I61" s="5">
        <v>0.0</v>
      </c>
      <c r="J61" s="5">
        <v>0.0</v>
      </c>
      <c r="K61" s="6">
        <f t="shared" si="4"/>
        <v>0</v>
      </c>
    </row>
    <row r="62" ht="17.25" customHeight="1">
      <c r="B62" s="3" t="s">
        <v>70</v>
      </c>
      <c r="C62" s="4">
        <v>102168.0</v>
      </c>
      <c r="D62" s="5">
        <v>8066.0</v>
      </c>
      <c r="E62" s="5">
        <v>77.0</v>
      </c>
      <c r="F62" s="6">
        <f t="shared" si="1"/>
        <v>0.009546243491</v>
      </c>
      <c r="G62" s="4">
        <f t="shared" si="2"/>
        <v>1326.857143</v>
      </c>
      <c r="H62" s="4">
        <f t="shared" si="3"/>
        <v>0</v>
      </c>
      <c r="I62" s="5">
        <v>0.0</v>
      </c>
      <c r="J62" s="5">
        <v>0.0</v>
      </c>
      <c r="K62" s="6">
        <f t="shared" si="4"/>
        <v>0</v>
      </c>
    </row>
    <row r="63" ht="17.25" customHeight="1">
      <c r="B63" s="3" t="s">
        <v>71</v>
      </c>
      <c r="C63" s="4">
        <v>54725.0</v>
      </c>
      <c r="D63" s="5">
        <v>1552.0</v>
      </c>
      <c r="E63" s="5">
        <v>58.0</v>
      </c>
      <c r="F63" s="6">
        <f t="shared" si="1"/>
        <v>0.03737113402</v>
      </c>
      <c r="G63" s="4">
        <f t="shared" si="2"/>
        <v>943.5344828</v>
      </c>
      <c r="H63" s="4">
        <f t="shared" si="3"/>
        <v>0</v>
      </c>
      <c r="I63" s="5">
        <v>0.0</v>
      </c>
      <c r="J63" s="5">
        <v>0.0</v>
      </c>
      <c r="K63" s="6">
        <f t="shared" si="4"/>
        <v>0</v>
      </c>
    </row>
    <row r="64" ht="17.25" customHeight="1">
      <c r="B64" s="3" t="s">
        <v>72</v>
      </c>
      <c r="C64" s="4">
        <v>74525.0</v>
      </c>
      <c r="D64" s="5">
        <v>1751.0</v>
      </c>
      <c r="E64" s="5">
        <v>48.0</v>
      </c>
      <c r="F64" s="6">
        <f t="shared" si="1"/>
        <v>0.02741290691</v>
      </c>
      <c r="G64" s="4">
        <f t="shared" si="2"/>
        <v>1552.604167</v>
      </c>
      <c r="H64" s="4">
        <f t="shared" si="3"/>
        <v>0</v>
      </c>
      <c r="I64" s="5">
        <v>0.0</v>
      </c>
      <c r="J64" s="5">
        <v>0.0</v>
      </c>
      <c r="K64" s="6">
        <f t="shared" si="4"/>
        <v>0</v>
      </c>
    </row>
    <row r="65" ht="17.25" customHeight="1">
      <c r="B65" s="3" t="s">
        <v>73</v>
      </c>
      <c r="C65" s="4">
        <v>704.0</v>
      </c>
      <c r="D65" s="5">
        <v>4.0</v>
      </c>
      <c r="E65" s="5">
        <v>1.0</v>
      </c>
      <c r="F65" s="6">
        <f t="shared" si="1"/>
        <v>0.25</v>
      </c>
      <c r="G65" s="4">
        <f t="shared" si="2"/>
        <v>704</v>
      </c>
      <c r="H65" s="4">
        <f t="shared" si="3"/>
        <v>0</v>
      </c>
      <c r="I65" s="5">
        <v>0.0</v>
      </c>
      <c r="J65" s="5">
        <v>0.0</v>
      </c>
      <c r="K65" s="6">
        <f t="shared" si="4"/>
        <v>0</v>
      </c>
    </row>
    <row r="66" ht="17.25" customHeight="1">
      <c r="B66" s="3" t="s">
        <v>74</v>
      </c>
      <c r="C66" s="4">
        <v>3069.0</v>
      </c>
      <c r="D66" s="5">
        <v>25.0</v>
      </c>
      <c r="E66" s="5">
        <v>2.0</v>
      </c>
      <c r="F66" s="6">
        <f t="shared" si="1"/>
        <v>0.08</v>
      </c>
      <c r="G66" s="4">
        <f t="shared" si="2"/>
        <v>1534.5</v>
      </c>
      <c r="H66" s="4">
        <f t="shared" si="3"/>
        <v>0</v>
      </c>
      <c r="I66" s="5">
        <v>0.0</v>
      </c>
      <c r="J66" s="5">
        <v>0.0</v>
      </c>
      <c r="K66" s="6">
        <f t="shared" si="4"/>
        <v>0</v>
      </c>
    </row>
    <row r="67" ht="17.25" customHeight="1">
      <c r="B67" s="3" t="s">
        <v>75</v>
      </c>
      <c r="C67" s="4">
        <v>6963.0</v>
      </c>
      <c r="D67" s="5">
        <v>150.0</v>
      </c>
      <c r="E67" s="5">
        <v>7.0</v>
      </c>
      <c r="F67" s="6">
        <f t="shared" si="1"/>
        <v>0.04666666667</v>
      </c>
      <c r="G67" s="4">
        <f t="shared" si="2"/>
        <v>994.7142857</v>
      </c>
      <c r="H67" s="4">
        <f t="shared" si="3"/>
        <v>6963</v>
      </c>
      <c r="I67" s="5">
        <v>1.0</v>
      </c>
      <c r="J67" s="5">
        <v>0.0</v>
      </c>
      <c r="K67" s="6">
        <f t="shared" si="4"/>
        <v>0</v>
      </c>
    </row>
    <row r="68" ht="17.25" customHeight="1">
      <c r="B68" s="3" t="s">
        <v>76</v>
      </c>
      <c r="C68" s="4">
        <v>4092.0</v>
      </c>
      <c r="D68" s="5">
        <v>41.0</v>
      </c>
      <c r="E68" s="5">
        <v>5.0</v>
      </c>
      <c r="F68" s="6">
        <f t="shared" si="1"/>
        <v>0.1219512195</v>
      </c>
      <c r="G68" s="4">
        <f t="shared" si="2"/>
        <v>818.4</v>
      </c>
      <c r="H68" s="4">
        <f t="shared" si="3"/>
        <v>0</v>
      </c>
      <c r="I68" s="5">
        <v>0.0</v>
      </c>
      <c r="J68" s="5">
        <v>0.0</v>
      </c>
      <c r="K68" s="6">
        <f t="shared" si="4"/>
        <v>0</v>
      </c>
    </row>
    <row r="69" ht="17.25" customHeight="1">
      <c r="B69" s="3" t="s">
        <v>77</v>
      </c>
      <c r="C69" s="4">
        <v>1100.0</v>
      </c>
      <c r="D69" s="5">
        <v>39.0</v>
      </c>
      <c r="E69" s="5">
        <v>3.0</v>
      </c>
      <c r="F69" s="6">
        <f t="shared" si="1"/>
        <v>0.07692307692</v>
      </c>
      <c r="G69" s="4">
        <f t="shared" si="2"/>
        <v>366.6666667</v>
      </c>
      <c r="H69" s="4">
        <f t="shared" si="3"/>
        <v>0</v>
      </c>
      <c r="I69" s="5">
        <v>0.0</v>
      </c>
      <c r="J69" s="5">
        <v>0.0</v>
      </c>
      <c r="K69" s="6">
        <f t="shared" si="4"/>
        <v>0</v>
      </c>
    </row>
    <row r="70" ht="17.25" customHeight="1">
      <c r="B70" s="3" t="s">
        <v>78</v>
      </c>
      <c r="C70" s="4">
        <v>10868.0</v>
      </c>
      <c r="D70" s="5">
        <v>369.0</v>
      </c>
      <c r="E70" s="5">
        <v>8.0</v>
      </c>
      <c r="F70" s="6">
        <f t="shared" si="1"/>
        <v>0.0216802168</v>
      </c>
      <c r="G70" s="4">
        <f t="shared" si="2"/>
        <v>1358.5</v>
      </c>
      <c r="H70" s="4">
        <f t="shared" si="3"/>
        <v>2173.6</v>
      </c>
      <c r="I70" s="5">
        <v>5.0</v>
      </c>
      <c r="J70" s="5">
        <v>0.0</v>
      </c>
      <c r="K70" s="6">
        <f t="shared" si="4"/>
        <v>0</v>
      </c>
    </row>
    <row r="71" ht="17.25" customHeight="1">
      <c r="B71" s="3" t="s">
        <v>79</v>
      </c>
      <c r="C71" s="4">
        <v>77.0</v>
      </c>
      <c r="D71" s="5">
        <v>12.0</v>
      </c>
      <c r="E71" s="5">
        <v>1.0</v>
      </c>
      <c r="F71" s="6">
        <f t="shared" si="1"/>
        <v>0.08333333333</v>
      </c>
      <c r="G71" s="4">
        <f t="shared" si="2"/>
        <v>77</v>
      </c>
      <c r="H71" s="4">
        <f t="shared" si="3"/>
        <v>0</v>
      </c>
      <c r="I71" s="5">
        <v>0.0</v>
      </c>
      <c r="J71" s="5">
        <v>0.0</v>
      </c>
      <c r="K71" s="6">
        <f t="shared" si="4"/>
        <v>0</v>
      </c>
    </row>
    <row r="72" ht="17.25" customHeight="1">
      <c r="B72" s="3" t="s">
        <v>80</v>
      </c>
      <c r="C72" s="4">
        <v>15796.0</v>
      </c>
      <c r="D72" s="5">
        <v>400.0</v>
      </c>
      <c r="E72" s="5">
        <v>4.0</v>
      </c>
      <c r="F72" s="6">
        <f t="shared" si="1"/>
        <v>0.01</v>
      </c>
      <c r="G72" s="4">
        <f t="shared" si="2"/>
        <v>3949</v>
      </c>
      <c r="H72" s="4">
        <f t="shared" si="3"/>
        <v>0</v>
      </c>
      <c r="I72" s="5">
        <v>0.0</v>
      </c>
      <c r="J72" s="5">
        <v>0.0</v>
      </c>
      <c r="K72" s="6">
        <f t="shared" si="4"/>
        <v>0</v>
      </c>
    </row>
    <row r="73" ht="17.25" customHeight="1">
      <c r="B73" s="3" t="s">
        <v>81</v>
      </c>
      <c r="C73" s="4">
        <v>6490.0</v>
      </c>
      <c r="D73" s="5">
        <v>164.0</v>
      </c>
      <c r="E73" s="5">
        <v>3.0</v>
      </c>
      <c r="F73" s="6">
        <f t="shared" si="1"/>
        <v>0.01829268293</v>
      </c>
      <c r="G73" s="4">
        <f t="shared" si="2"/>
        <v>2163.333333</v>
      </c>
      <c r="H73" s="4">
        <f t="shared" si="3"/>
        <v>0</v>
      </c>
      <c r="I73" s="5">
        <v>0.0</v>
      </c>
      <c r="J73" s="5">
        <v>0.0</v>
      </c>
      <c r="K73" s="6">
        <f t="shared" si="4"/>
        <v>0</v>
      </c>
    </row>
    <row r="74" ht="17.25" customHeight="1">
      <c r="B74" s="3" t="s">
        <v>82</v>
      </c>
      <c r="C74" s="4">
        <v>38456.0</v>
      </c>
      <c r="D74" s="5">
        <v>11092.0</v>
      </c>
      <c r="E74" s="5">
        <v>36.0</v>
      </c>
      <c r="F74" s="6">
        <f t="shared" si="1"/>
        <v>0.003245582402</v>
      </c>
      <c r="G74" s="4">
        <f t="shared" si="2"/>
        <v>1068.222222</v>
      </c>
      <c r="H74" s="4">
        <f t="shared" si="3"/>
        <v>0</v>
      </c>
      <c r="I74" s="5">
        <v>0.0</v>
      </c>
      <c r="J74" s="5">
        <v>0.0</v>
      </c>
      <c r="K74" s="6">
        <f t="shared" si="4"/>
        <v>0</v>
      </c>
    </row>
    <row r="75" ht="17.25" customHeight="1">
      <c r="B75" s="3" t="s">
        <v>83</v>
      </c>
      <c r="C75" s="4">
        <v>2167.0</v>
      </c>
      <c r="D75" s="5">
        <v>230.0</v>
      </c>
      <c r="E75" s="5">
        <v>5.0</v>
      </c>
      <c r="F75" s="6">
        <f t="shared" si="1"/>
        <v>0.02173913043</v>
      </c>
      <c r="G75" s="4">
        <f t="shared" si="2"/>
        <v>433.4</v>
      </c>
      <c r="H75" s="4">
        <f t="shared" si="3"/>
        <v>0</v>
      </c>
      <c r="I75" s="5">
        <v>0.0</v>
      </c>
      <c r="J75" s="5">
        <v>0.0</v>
      </c>
      <c r="K75" s="6">
        <f t="shared" si="4"/>
        <v>0</v>
      </c>
    </row>
    <row r="76" ht="17.25" customHeight="1">
      <c r="B76" s="3" t="s">
        <v>84</v>
      </c>
      <c r="C76" s="4">
        <v>8723.0</v>
      </c>
      <c r="D76" s="5">
        <v>458.0</v>
      </c>
      <c r="E76" s="5">
        <v>6.0</v>
      </c>
      <c r="F76" s="6">
        <f t="shared" si="1"/>
        <v>0.01310043668</v>
      </c>
      <c r="G76" s="4">
        <f t="shared" si="2"/>
        <v>1453.833333</v>
      </c>
      <c r="H76" s="4">
        <f t="shared" si="3"/>
        <v>0</v>
      </c>
      <c r="I76" s="5">
        <v>0.0</v>
      </c>
      <c r="J76" s="5">
        <v>0.0</v>
      </c>
      <c r="K76" s="6">
        <f t="shared" si="4"/>
        <v>0</v>
      </c>
    </row>
    <row r="77" ht="17.25" customHeight="1">
      <c r="B77" s="3" t="s">
        <v>85</v>
      </c>
      <c r="C77" s="4">
        <v>56001.0</v>
      </c>
      <c r="D77" s="5">
        <v>6748.0</v>
      </c>
      <c r="E77" s="5">
        <v>52.0</v>
      </c>
      <c r="F77" s="6">
        <f t="shared" si="1"/>
        <v>0.007705986959</v>
      </c>
      <c r="G77" s="4">
        <f t="shared" si="2"/>
        <v>1076.942308</v>
      </c>
      <c r="H77" s="4">
        <f t="shared" si="3"/>
        <v>0</v>
      </c>
      <c r="I77" s="5">
        <v>0.0</v>
      </c>
      <c r="J77" s="5">
        <v>0.0</v>
      </c>
      <c r="K77" s="6">
        <f t="shared" si="4"/>
        <v>0</v>
      </c>
    </row>
    <row r="78" ht="17.25" customHeight="1">
      <c r="B78" s="3" t="s">
        <v>86</v>
      </c>
      <c r="C78" s="4">
        <v>20152.0</v>
      </c>
      <c r="D78" s="5">
        <v>4928.0</v>
      </c>
      <c r="E78" s="5">
        <v>8.0</v>
      </c>
      <c r="F78" s="6">
        <f t="shared" si="1"/>
        <v>0.001623376623</v>
      </c>
      <c r="G78" s="4">
        <f t="shared" si="2"/>
        <v>2519</v>
      </c>
      <c r="H78" s="4">
        <f t="shared" si="3"/>
        <v>0</v>
      </c>
      <c r="I78" s="5">
        <v>0.0</v>
      </c>
      <c r="J78" s="5">
        <v>0.0</v>
      </c>
      <c r="K78" s="6">
        <f t="shared" si="4"/>
        <v>0</v>
      </c>
    </row>
    <row r="79" ht="17.25" customHeight="1">
      <c r="B79" s="3" t="s">
        <v>87</v>
      </c>
      <c r="C79" s="4">
        <v>4048.0</v>
      </c>
      <c r="D79" s="5">
        <v>263.0</v>
      </c>
      <c r="E79" s="5">
        <v>4.0</v>
      </c>
      <c r="F79" s="6">
        <f t="shared" si="1"/>
        <v>0.01520912548</v>
      </c>
      <c r="G79" s="4">
        <f t="shared" si="2"/>
        <v>1012</v>
      </c>
      <c r="H79" s="4">
        <f t="shared" si="3"/>
        <v>0</v>
      </c>
      <c r="I79" s="5">
        <v>0.0</v>
      </c>
      <c r="J79" s="5">
        <v>0.0</v>
      </c>
      <c r="K79" s="6">
        <f t="shared" si="4"/>
        <v>0</v>
      </c>
    </row>
    <row r="80" ht="17.25" customHeight="1">
      <c r="B80" s="3" t="s">
        <v>88</v>
      </c>
      <c r="C80" s="4">
        <v>12144.0</v>
      </c>
      <c r="D80" s="5">
        <v>515.0</v>
      </c>
      <c r="E80" s="5">
        <v>15.0</v>
      </c>
      <c r="F80" s="6">
        <f t="shared" si="1"/>
        <v>0.02912621359</v>
      </c>
      <c r="G80" s="4">
        <f t="shared" si="2"/>
        <v>809.6</v>
      </c>
      <c r="H80" s="4">
        <f t="shared" si="3"/>
        <v>0</v>
      </c>
      <c r="I80" s="5">
        <v>0.0</v>
      </c>
      <c r="J80" s="5">
        <v>0.0</v>
      </c>
      <c r="K80" s="6">
        <f t="shared" si="4"/>
        <v>0</v>
      </c>
    </row>
    <row r="81" ht="17.25" customHeight="1">
      <c r="B81" s="3" t="s">
        <v>89</v>
      </c>
      <c r="C81" s="4">
        <v>2244.0</v>
      </c>
      <c r="D81" s="5">
        <v>27.0</v>
      </c>
      <c r="E81" s="5">
        <v>3.0</v>
      </c>
      <c r="F81" s="6">
        <f t="shared" si="1"/>
        <v>0.1111111111</v>
      </c>
      <c r="G81" s="4">
        <f t="shared" si="2"/>
        <v>748</v>
      </c>
      <c r="H81" s="4">
        <f t="shared" si="3"/>
        <v>0</v>
      </c>
      <c r="I81" s="5">
        <v>0.0</v>
      </c>
      <c r="J81" s="5">
        <v>0.0</v>
      </c>
      <c r="K81" s="6">
        <f t="shared" si="4"/>
        <v>0</v>
      </c>
    </row>
    <row r="82" ht="17.25" customHeight="1">
      <c r="B82" s="3" t="s">
        <v>90</v>
      </c>
      <c r="C82" s="4">
        <v>1221.0</v>
      </c>
      <c r="D82" s="5">
        <v>44.0</v>
      </c>
      <c r="E82" s="5">
        <v>1.0</v>
      </c>
      <c r="F82" s="6">
        <f t="shared" si="1"/>
        <v>0.02272727273</v>
      </c>
      <c r="G82" s="4">
        <f t="shared" si="2"/>
        <v>1221</v>
      </c>
      <c r="H82" s="4">
        <f t="shared" si="3"/>
        <v>0</v>
      </c>
      <c r="I82" s="5">
        <v>0.0</v>
      </c>
      <c r="J82" s="5">
        <v>0.0</v>
      </c>
      <c r="K82" s="6">
        <f t="shared" si="4"/>
        <v>0</v>
      </c>
    </row>
    <row r="83" ht="17.25" customHeight="1">
      <c r="B83" s="3" t="s">
        <v>91</v>
      </c>
      <c r="C83" s="4">
        <v>1551.0</v>
      </c>
      <c r="D83" s="5">
        <v>28.0</v>
      </c>
      <c r="E83" s="5">
        <v>1.0</v>
      </c>
      <c r="F83" s="6">
        <f t="shared" si="1"/>
        <v>0.03571428571</v>
      </c>
      <c r="G83" s="4">
        <f t="shared" si="2"/>
        <v>1551</v>
      </c>
      <c r="H83" s="4">
        <f t="shared" si="3"/>
        <v>0</v>
      </c>
      <c r="I83" s="5">
        <v>0.0</v>
      </c>
      <c r="J83" s="5">
        <v>0.0</v>
      </c>
      <c r="K83" s="6">
        <f t="shared" si="4"/>
        <v>0</v>
      </c>
    </row>
    <row r="84" ht="17.25" customHeight="1">
      <c r="B84" s="3" t="s">
        <v>92</v>
      </c>
      <c r="C84" s="4">
        <v>141636.0</v>
      </c>
      <c r="D84" s="5">
        <v>20949.0</v>
      </c>
      <c r="E84" s="5">
        <v>91.0</v>
      </c>
      <c r="F84" s="6">
        <f t="shared" si="1"/>
        <v>0.004343882763</v>
      </c>
      <c r="G84" s="4">
        <f t="shared" si="2"/>
        <v>1556.43956</v>
      </c>
      <c r="H84" s="4">
        <f t="shared" si="3"/>
        <v>70818</v>
      </c>
      <c r="I84" s="5">
        <v>2.0</v>
      </c>
      <c r="J84" s="5">
        <v>0.0</v>
      </c>
      <c r="K84" s="6">
        <f t="shared" si="4"/>
        <v>0</v>
      </c>
    </row>
    <row r="85" ht="17.25" customHeight="1">
      <c r="B85" s="3" t="s">
        <v>93</v>
      </c>
      <c r="C85" s="4">
        <v>65912.0</v>
      </c>
      <c r="D85" s="5">
        <v>3552.0</v>
      </c>
      <c r="E85" s="5">
        <v>19.0</v>
      </c>
      <c r="F85" s="6">
        <f t="shared" si="1"/>
        <v>0.005349099099</v>
      </c>
      <c r="G85" s="4">
        <f t="shared" si="2"/>
        <v>3469.052632</v>
      </c>
      <c r="H85" s="4">
        <f t="shared" si="3"/>
        <v>0</v>
      </c>
      <c r="I85" s="5">
        <v>0.0</v>
      </c>
      <c r="J85" s="5">
        <v>0.0</v>
      </c>
      <c r="K85" s="6">
        <f t="shared" si="4"/>
        <v>0</v>
      </c>
    </row>
    <row r="86" ht="17.25" customHeight="1">
      <c r="B86" s="3" t="s">
        <v>94</v>
      </c>
      <c r="C86" s="4">
        <v>7799.0</v>
      </c>
      <c r="D86" s="5">
        <v>40.0</v>
      </c>
      <c r="E86" s="5">
        <v>4.0</v>
      </c>
      <c r="F86" s="6">
        <f t="shared" si="1"/>
        <v>0.1</v>
      </c>
      <c r="G86" s="4">
        <f t="shared" si="2"/>
        <v>1949.75</v>
      </c>
      <c r="H86" s="4">
        <f t="shared" si="3"/>
        <v>0</v>
      </c>
      <c r="I86" s="5">
        <v>0.0</v>
      </c>
      <c r="J86" s="5">
        <v>0.0</v>
      </c>
      <c r="K86" s="6">
        <f t="shared" si="4"/>
        <v>0</v>
      </c>
    </row>
    <row r="87" ht="17.25" customHeight="1">
      <c r="B87" s="3" t="s">
        <v>95</v>
      </c>
      <c r="C87" s="4">
        <v>5170.0</v>
      </c>
      <c r="D87" s="5">
        <v>1373.0</v>
      </c>
      <c r="E87" s="5">
        <v>8.0</v>
      </c>
      <c r="F87" s="6">
        <f t="shared" si="1"/>
        <v>0.005826656956</v>
      </c>
      <c r="G87" s="4">
        <f t="shared" si="2"/>
        <v>646.25</v>
      </c>
      <c r="H87" s="4">
        <f t="shared" si="3"/>
        <v>0</v>
      </c>
      <c r="I87" s="5">
        <v>0.0</v>
      </c>
      <c r="J87" s="5">
        <v>0.0</v>
      </c>
      <c r="K87" s="6">
        <f t="shared" si="4"/>
        <v>0</v>
      </c>
    </row>
    <row r="88" ht="17.25" customHeight="1">
      <c r="B88" s="3" t="s">
        <v>96</v>
      </c>
      <c r="C88" s="4">
        <v>4620.0</v>
      </c>
      <c r="D88" s="5">
        <v>926.0</v>
      </c>
      <c r="E88" s="5">
        <v>7.0</v>
      </c>
      <c r="F88" s="6">
        <f t="shared" si="1"/>
        <v>0.007559395248</v>
      </c>
      <c r="G88" s="4">
        <f t="shared" si="2"/>
        <v>660</v>
      </c>
      <c r="H88" s="4">
        <f t="shared" si="3"/>
        <v>0</v>
      </c>
      <c r="I88" s="5">
        <v>0.0</v>
      </c>
      <c r="J88" s="5">
        <v>0.0</v>
      </c>
      <c r="K88" s="6">
        <f t="shared" si="4"/>
        <v>0</v>
      </c>
    </row>
    <row r="89" ht="17.25" customHeight="1">
      <c r="B89" s="3" t="s">
        <v>97</v>
      </c>
      <c r="C89" s="4">
        <v>1419.0</v>
      </c>
      <c r="D89" s="5">
        <v>122.0</v>
      </c>
      <c r="E89" s="5">
        <v>2.0</v>
      </c>
      <c r="F89" s="6">
        <f t="shared" si="1"/>
        <v>0.01639344262</v>
      </c>
      <c r="G89" s="4">
        <f t="shared" si="2"/>
        <v>709.5</v>
      </c>
      <c r="H89" s="4">
        <f t="shared" si="3"/>
        <v>0</v>
      </c>
      <c r="I89" s="5">
        <v>0.0</v>
      </c>
      <c r="J89" s="5">
        <v>0.0</v>
      </c>
      <c r="K89" s="6">
        <f t="shared" si="4"/>
        <v>0</v>
      </c>
    </row>
    <row r="90" ht="17.25" customHeight="1">
      <c r="B90" s="3" t="s">
        <v>98</v>
      </c>
      <c r="C90" s="4">
        <v>2706.0</v>
      </c>
      <c r="D90" s="5">
        <v>259.0</v>
      </c>
      <c r="E90" s="5">
        <v>4.0</v>
      </c>
      <c r="F90" s="6">
        <f t="shared" si="1"/>
        <v>0.01544401544</v>
      </c>
      <c r="G90" s="4">
        <f t="shared" si="2"/>
        <v>676.5</v>
      </c>
      <c r="H90" s="4">
        <f t="shared" si="3"/>
        <v>0</v>
      </c>
      <c r="I90" s="5">
        <v>0.0</v>
      </c>
      <c r="J90" s="5">
        <v>0.0</v>
      </c>
      <c r="K90" s="6">
        <f t="shared" si="4"/>
        <v>0</v>
      </c>
    </row>
    <row r="91" ht="17.25" customHeight="1">
      <c r="B91" s="3" t="s">
        <v>99</v>
      </c>
      <c r="C91" s="4">
        <v>5951.0</v>
      </c>
      <c r="D91" s="5">
        <v>2521.0</v>
      </c>
      <c r="E91" s="5">
        <v>12.0</v>
      </c>
      <c r="F91" s="6">
        <f t="shared" si="1"/>
        <v>0.004760015867</v>
      </c>
      <c r="G91" s="4">
        <f t="shared" si="2"/>
        <v>495.9166667</v>
      </c>
      <c r="H91" s="4">
        <f t="shared" si="3"/>
        <v>0</v>
      </c>
      <c r="I91" s="5">
        <v>0.0</v>
      </c>
      <c r="J91" s="5">
        <v>0.0</v>
      </c>
      <c r="K91" s="6">
        <f t="shared" si="4"/>
        <v>0</v>
      </c>
    </row>
    <row r="92" ht="17.25" customHeight="1">
      <c r="B92" s="3" t="s">
        <v>100</v>
      </c>
      <c r="C92" s="4">
        <v>16401.0</v>
      </c>
      <c r="D92" s="5">
        <v>2669.0</v>
      </c>
      <c r="E92" s="5">
        <v>18.0</v>
      </c>
      <c r="F92" s="6">
        <f t="shared" si="1"/>
        <v>0.006744098913</v>
      </c>
      <c r="G92" s="4">
        <f t="shared" si="2"/>
        <v>911.1666667</v>
      </c>
      <c r="H92" s="4">
        <f t="shared" si="3"/>
        <v>0</v>
      </c>
      <c r="I92" s="5">
        <v>0.0</v>
      </c>
      <c r="J92" s="5">
        <v>0.0</v>
      </c>
      <c r="K92" s="6">
        <f t="shared" si="4"/>
        <v>0</v>
      </c>
    </row>
    <row r="93" ht="17.25" customHeight="1">
      <c r="B93" s="3" t="s">
        <v>101</v>
      </c>
      <c r="C93" s="4">
        <v>48180.0</v>
      </c>
      <c r="D93" s="5">
        <v>46834.0</v>
      </c>
      <c r="E93" s="5">
        <v>53.0</v>
      </c>
      <c r="F93" s="6">
        <f t="shared" si="1"/>
        <v>0.001131656489</v>
      </c>
      <c r="G93" s="4">
        <f t="shared" si="2"/>
        <v>909.0566038</v>
      </c>
      <c r="H93" s="4">
        <f t="shared" si="3"/>
        <v>0</v>
      </c>
      <c r="I93" s="5">
        <v>0.0</v>
      </c>
      <c r="J93" s="5">
        <v>0.0</v>
      </c>
      <c r="K93" s="6">
        <f t="shared" si="4"/>
        <v>0</v>
      </c>
    </row>
    <row r="94" ht="17.25" customHeight="1">
      <c r="B94" s="3" t="s">
        <v>102</v>
      </c>
      <c r="C94" s="4">
        <v>17325.0</v>
      </c>
      <c r="D94" s="5">
        <v>3946.0</v>
      </c>
      <c r="E94" s="5">
        <v>18.0</v>
      </c>
      <c r="F94" s="6">
        <f t="shared" si="1"/>
        <v>0.004561581348</v>
      </c>
      <c r="G94" s="4">
        <f t="shared" si="2"/>
        <v>962.5</v>
      </c>
      <c r="H94" s="4">
        <f t="shared" si="3"/>
        <v>0</v>
      </c>
      <c r="I94" s="5">
        <v>0.0</v>
      </c>
      <c r="J94" s="5">
        <v>0.0</v>
      </c>
      <c r="K94" s="6">
        <f t="shared" si="4"/>
        <v>0</v>
      </c>
    </row>
    <row r="95" ht="17.25" customHeight="1">
      <c r="B95" s="3" t="s">
        <v>103</v>
      </c>
      <c r="C95" s="4">
        <v>4763.0</v>
      </c>
      <c r="D95" s="5">
        <v>80.0</v>
      </c>
      <c r="E95" s="5">
        <v>5.0</v>
      </c>
      <c r="F95" s="6">
        <f t="shared" si="1"/>
        <v>0.0625</v>
      </c>
      <c r="G95" s="4">
        <f t="shared" si="2"/>
        <v>952.6</v>
      </c>
      <c r="H95" s="4">
        <f t="shared" si="3"/>
        <v>0</v>
      </c>
      <c r="I95" s="5">
        <v>0.0</v>
      </c>
      <c r="J95" s="5">
        <v>0.0</v>
      </c>
      <c r="K95" s="6">
        <f t="shared" si="4"/>
        <v>0</v>
      </c>
    </row>
    <row r="96" ht="17.25" customHeight="1">
      <c r="B96" s="3" t="s">
        <v>104</v>
      </c>
      <c r="C96" s="4">
        <v>671.0</v>
      </c>
      <c r="D96" s="5">
        <v>30.0</v>
      </c>
      <c r="E96" s="5">
        <v>1.0</v>
      </c>
      <c r="F96" s="6">
        <f t="shared" si="1"/>
        <v>0.03333333333</v>
      </c>
      <c r="G96" s="4">
        <f t="shared" si="2"/>
        <v>671</v>
      </c>
      <c r="H96" s="4">
        <f t="shared" si="3"/>
        <v>0</v>
      </c>
      <c r="I96" s="5">
        <v>0.0</v>
      </c>
      <c r="J96" s="5">
        <v>0.0</v>
      </c>
      <c r="K96" s="6">
        <f t="shared" si="4"/>
        <v>0</v>
      </c>
    </row>
    <row r="97" ht="17.25" customHeight="1">
      <c r="B97" s="3" t="s">
        <v>105</v>
      </c>
      <c r="C97" s="4">
        <v>13915.0</v>
      </c>
      <c r="D97" s="5">
        <v>4120.0</v>
      </c>
      <c r="E97" s="5">
        <v>34.0</v>
      </c>
      <c r="F97" s="6">
        <f t="shared" si="1"/>
        <v>0.008252427184</v>
      </c>
      <c r="G97" s="4">
        <f t="shared" si="2"/>
        <v>409.2647059</v>
      </c>
      <c r="H97" s="4">
        <f t="shared" si="3"/>
        <v>3478.75</v>
      </c>
      <c r="I97" s="5">
        <v>4.0</v>
      </c>
      <c r="J97" s="5">
        <v>70003.0</v>
      </c>
      <c r="K97" s="6">
        <f t="shared" si="4"/>
        <v>5.030758175</v>
      </c>
    </row>
    <row r="98" ht="17.25" customHeight="1">
      <c r="B98" s="3" t="s">
        <v>106</v>
      </c>
      <c r="C98" s="4">
        <v>40667.0</v>
      </c>
      <c r="D98" s="5">
        <v>3484.0</v>
      </c>
      <c r="E98" s="5">
        <v>72.0</v>
      </c>
      <c r="F98" s="6">
        <f t="shared" si="1"/>
        <v>0.02066590126</v>
      </c>
      <c r="G98" s="4">
        <f t="shared" si="2"/>
        <v>564.8194444</v>
      </c>
      <c r="H98" s="4">
        <f t="shared" si="3"/>
        <v>2259.277778</v>
      </c>
      <c r="I98" s="5">
        <v>18.0</v>
      </c>
      <c r="J98" s="5">
        <v>100017.0</v>
      </c>
      <c r="K98" s="6">
        <f t="shared" si="4"/>
        <v>2.459414267</v>
      </c>
    </row>
    <row r="99" ht="17.25" customHeight="1">
      <c r="B99" s="3" t="s">
        <v>107</v>
      </c>
      <c r="C99" s="4">
        <v>143.0</v>
      </c>
      <c r="D99" s="5">
        <v>3.0</v>
      </c>
      <c r="E99" s="5">
        <v>1.0</v>
      </c>
      <c r="F99" s="6">
        <f t="shared" si="1"/>
        <v>0.3333333333</v>
      </c>
      <c r="G99" s="4">
        <f t="shared" si="2"/>
        <v>143</v>
      </c>
      <c r="H99" s="4">
        <f t="shared" si="3"/>
        <v>0</v>
      </c>
      <c r="I99" s="5">
        <v>0.0</v>
      </c>
      <c r="J99" s="5">
        <v>0.0</v>
      </c>
      <c r="K99" s="6">
        <f t="shared" si="4"/>
        <v>0</v>
      </c>
    </row>
    <row r="100" ht="17.25" customHeight="1">
      <c r="B100" s="3" t="s">
        <v>108</v>
      </c>
      <c r="C100" s="4">
        <v>650254.0</v>
      </c>
      <c r="D100" s="5">
        <v>24550.0</v>
      </c>
      <c r="E100" s="5">
        <v>185.0</v>
      </c>
      <c r="F100" s="6">
        <f t="shared" si="1"/>
        <v>0.007535641548</v>
      </c>
      <c r="G100" s="4">
        <f t="shared" si="2"/>
        <v>3514.886486</v>
      </c>
      <c r="H100" s="4">
        <f t="shared" si="3"/>
        <v>65025.4</v>
      </c>
      <c r="I100" s="5">
        <v>10.0</v>
      </c>
      <c r="J100" s="5">
        <v>5694556.0</v>
      </c>
      <c r="K100" s="6">
        <f t="shared" si="4"/>
        <v>8.757433249</v>
      </c>
    </row>
    <row r="101" ht="17.25" customHeight="1">
      <c r="B101" s="3" t="s">
        <v>109</v>
      </c>
      <c r="C101" s="4">
        <v>12859.0</v>
      </c>
      <c r="D101" s="5">
        <v>81.0</v>
      </c>
      <c r="E101" s="5">
        <v>5.0</v>
      </c>
      <c r="F101" s="6">
        <f t="shared" si="1"/>
        <v>0.06172839506</v>
      </c>
      <c r="G101" s="4">
        <f t="shared" si="2"/>
        <v>2571.8</v>
      </c>
      <c r="H101" s="4">
        <f t="shared" si="3"/>
        <v>4286.333333</v>
      </c>
      <c r="I101" s="5">
        <v>3.0</v>
      </c>
      <c r="J101" s="5">
        <v>0.0</v>
      </c>
      <c r="K101" s="6">
        <f t="shared" si="4"/>
        <v>0</v>
      </c>
    </row>
    <row r="102" ht="17.25" customHeight="1">
      <c r="B102" s="3" t="s">
        <v>110</v>
      </c>
      <c r="C102" s="4">
        <v>44462.0</v>
      </c>
      <c r="D102" s="5">
        <v>1590.0</v>
      </c>
      <c r="E102" s="5">
        <v>23.0</v>
      </c>
      <c r="F102" s="6">
        <f t="shared" si="1"/>
        <v>0.01446540881</v>
      </c>
      <c r="G102" s="4">
        <f t="shared" si="2"/>
        <v>1933.130435</v>
      </c>
      <c r="H102" s="4">
        <f t="shared" si="3"/>
        <v>0</v>
      </c>
      <c r="I102" s="5">
        <v>0.0</v>
      </c>
      <c r="J102" s="5">
        <v>0.0</v>
      </c>
      <c r="K102" s="6">
        <f t="shared" si="4"/>
        <v>0</v>
      </c>
    </row>
    <row r="103" ht="17.25" customHeight="1">
      <c r="B103" s="3" t="s">
        <v>111</v>
      </c>
      <c r="C103" s="4">
        <v>2024.0</v>
      </c>
      <c r="D103" s="5">
        <v>14.0</v>
      </c>
      <c r="E103" s="5">
        <v>1.0</v>
      </c>
      <c r="F103" s="6">
        <f t="shared" si="1"/>
        <v>0.07142857143</v>
      </c>
      <c r="G103" s="4">
        <f t="shared" si="2"/>
        <v>2024</v>
      </c>
      <c r="H103" s="4">
        <f t="shared" si="3"/>
        <v>0</v>
      </c>
      <c r="I103" s="5">
        <v>0.0</v>
      </c>
      <c r="J103" s="5">
        <v>0.0</v>
      </c>
      <c r="K103" s="6">
        <f t="shared" si="4"/>
        <v>0</v>
      </c>
    </row>
    <row r="104" ht="17.25" customHeight="1">
      <c r="B104" s="3" t="s">
        <v>112</v>
      </c>
      <c r="C104" s="4">
        <v>1144.0</v>
      </c>
      <c r="D104" s="5">
        <v>9.0</v>
      </c>
      <c r="E104" s="5">
        <v>1.0</v>
      </c>
      <c r="F104" s="6">
        <f t="shared" si="1"/>
        <v>0.1111111111</v>
      </c>
      <c r="G104" s="4">
        <f t="shared" si="2"/>
        <v>1144</v>
      </c>
      <c r="H104" s="4">
        <f t="shared" si="3"/>
        <v>0</v>
      </c>
      <c r="I104" s="5">
        <v>0.0</v>
      </c>
      <c r="J104" s="5">
        <v>0.0</v>
      </c>
      <c r="K104" s="6">
        <f t="shared" si="4"/>
        <v>0</v>
      </c>
    </row>
    <row r="105" ht="17.25" customHeight="1">
      <c r="B105" s="3" t="s">
        <v>113</v>
      </c>
      <c r="C105" s="4">
        <v>1210.0</v>
      </c>
      <c r="D105" s="5">
        <v>17.0</v>
      </c>
      <c r="E105" s="5">
        <v>1.0</v>
      </c>
      <c r="F105" s="6">
        <f t="shared" si="1"/>
        <v>0.05882352941</v>
      </c>
      <c r="G105" s="4">
        <f t="shared" si="2"/>
        <v>1210</v>
      </c>
      <c r="H105" s="4">
        <f t="shared" si="3"/>
        <v>0</v>
      </c>
      <c r="I105" s="5">
        <v>0.0</v>
      </c>
      <c r="J105" s="5">
        <v>0.0</v>
      </c>
      <c r="K105" s="6">
        <f t="shared" si="4"/>
        <v>0</v>
      </c>
    </row>
    <row r="106" ht="17.25" customHeight="1">
      <c r="B106" s="3" t="s">
        <v>114</v>
      </c>
      <c r="C106" s="4">
        <v>96107.0</v>
      </c>
      <c r="D106" s="5">
        <v>5967.0</v>
      </c>
      <c r="E106" s="5">
        <v>37.0</v>
      </c>
      <c r="F106" s="6">
        <f t="shared" si="1"/>
        <v>0.006200770907</v>
      </c>
      <c r="G106" s="4">
        <f t="shared" si="2"/>
        <v>2597.486486</v>
      </c>
      <c r="H106" s="4">
        <f t="shared" si="3"/>
        <v>0</v>
      </c>
      <c r="I106" s="5">
        <v>0.0</v>
      </c>
      <c r="J106" s="5">
        <v>0.0</v>
      </c>
      <c r="K106" s="6">
        <f t="shared" si="4"/>
        <v>0</v>
      </c>
    </row>
    <row r="107" ht="17.25" customHeight="1">
      <c r="B107" s="3" t="s">
        <v>115</v>
      </c>
      <c r="C107" s="4">
        <v>84799.0</v>
      </c>
      <c r="D107" s="5">
        <v>4896.0</v>
      </c>
      <c r="E107" s="5">
        <v>39.0</v>
      </c>
      <c r="F107" s="6">
        <f t="shared" si="1"/>
        <v>0.007965686275</v>
      </c>
      <c r="G107" s="4">
        <f t="shared" si="2"/>
        <v>2174.333333</v>
      </c>
      <c r="H107" s="4">
        <f t="shared" si="3"/>
        <v>0</v>
      </c>
      <c r="I107" s="5">
        <v>0.0</v>
      </c>
      <c r="J107" s="5">
        <v>0.0</v>
      </c>
      <c r="K107" s="6">
        <f t="shared" si="4"/>
        <v>0</v>
      </c>
    </row>
    <row r="108" ht="17.25" customHeight="1">
      <c r="B108" s="3" t="s">
        <v>116</v>
      </c>
      <c r="C108" s="4">
        <v>3465.0</v>
      </c>
      <c r="D108" s="5">
        <v>31.0</v>
      </c>
      <c r="E108" s="5">
        <v>2.0</v>
      </c>
      <c r="F108" s="6">
        <f t="shared" si="1"/>
        <v>0.06451612903</v>
      </c>
      <c r="G108" s="4">
        <f t="shared" si="2"/>
        <v>1732.5</v>
      </c>
      <c r="H108" s="4">
        <f t="shared" si="3"/>
        <v>0</v>
      </c>
      <c r="I108" s="5">
        <v>0.0</v>
      </c>
      <c r="J108" s="5">
        <v>0.0</v>
      </c>
      <c r="K108" s="6">
        <f t="shared" si="4"/>
        <v>0</v>
      </c>
    </row>
    <row r="109" ht="17.25" customHeight="1">
      <c r="B109" s="3" t="s">
        <v>117</v>
      </c>
      <c r="C109" s="4">
        <v>4675.0</v>
      </c>
      <c r="D109" s="5">
        <v>9.0</v>
      </c>
      <c r="E109" s="5">
        <v>2.0</v>
      </c>
      <c r="F109" s="6">
        <f t="shared" si="1"/>
        <v>0.2222222222</v>
      </c>
      <c r="G109" s="4">
        <f t="shared" si="2"/>
        <v>2337.5</v>
      </c>
      <c r="H109" s="4">
        <f t="shared" si="3"/>
        <v>0</v>
      </c>
      <c r="I109" s="5">
        <v>0.0</v>
      </c>
      <c r="J109" s="5">
        <v>0.0</v>
      </c>
      <c r="K109" s="6">
        <f t="shared" si="4"/>
        <v>0</v>
      </c>
    </row>
    <row r="110" ht="17.25" customHeight="1">
      <c r="B110" s="3" t="s">
        <v>118</v>
      </c>
      <c r="C110" s="4">
        <v>10417.0</v>
      </c>
      <c r="D110" s="5">
        <v>91.0</v>
      </c>
      <c r="E110" s="5">
        <v>4.0</v>
      </c>
      <c r="F110" s="6">
        <f t="shared" si="1"/>
        <v>0.04395604396</v>
      </c>
      <c r="G110" s="4">
        <f t="shared" si="2"/>
        <v>2604.25</v>
      </c>
      <c r="H110" s="4">
        <f t="shared" si="3"/>
        <v>0</v>
      </c>
      <c r="I110" s="5">
        <v>0.0</v>
      </c>
      <c r="J110" s="5">
        <v>0.0</v>
      </c>
      <c r="K110" s="6">
        <f t="shared" si="4"/>
        <v>0</v>
      </c>
    </row>
    <row r="111" ht="17.25" customHeight="1">
      <c r="B111" s="3" t="s">
        <v>119</v>
      </c>
      <c r="C111" s="4">
        <v>5258.0</v>
      </c>
      <c r="D111" s="5">
        <v>93.0</v>
      </c>
      <c r="E111" s="5">
        <v>5.0</v>
      </c>
      <c r="F111" s="6">
        <f t="shared" si="1"/>
        <v>0.05376344086</v>
      </c>
      <c r="G111" s="4">
        <f t="shared" si="2"/>
        <v>1051.6</v>
      </c>
      <c r="H111" s="4">
        <f t="shared" si="3"/>
        <v>0</v>
      </c>
      <c r="I111" s="5">
        <v>0.0</v>
      </c>
      <c r="J111" s="5">
        <v>0.0</v>
      </c>
      <c r="K111" s="6">
        <f t="shared" si="4"/>
        <v>0</v>
      </c>
    </row>
    <row r="112" ht="17.25" customHeight="1">
      <c r="B112" s="3" t="s">
        <v>120</v>
      </c>
      <c r="C112" s="4">
        <v>2486.0</v>
      </c>
      <c r="D112" s="5">
        <v>9.0</v>
      </c>
      <c r="E112" s="5">
        <v>2.0</v>
      </c>
      <c r="F112" s="6">
        <f t="shared" si="1"/>
        <v>0.2222222222</v>
      </c>
      <c r="G112" s="4">
        <f t="shared" si="2"/>
        <v>1243</v>
      </c>
      <c r="H112" s="4">
        <f t="shared" si="3"/>
        <v>0</v>
      </c>
      <c r="I112" s="5">
        <v>0.0</v>
      </c>
      <c r="J112" s="5">
        <v>0.0</v>
      </c>
      <c r="K112" s="6">
        <f t="shared" si="4"/>
        <v>0</v>
      </c>
    </row>
    <row r="113" ht="17.25" customHeight="1">
      <c r="B113" s="3" t="s">
        <v>121</v>
      </c>
      <c r="C113" s="4">
        <v>2013.0</v>
      </c>
      <c r="D113" s="5">
        <v>17.0</v>
      </c>
      <c r="E113" s="5">
        <v>2.0</v>
      </c>
      <c r="F113" s="6">
        <f t="shared" si="1"/>
        <v>0.1176470588</v>
      </c>
      <c r="G113" s="4">
        <f t="shared" si="2"/>
        <v>1006.5</v>
      </c>
      <c r="H113" s="4">
        <f t="shared" si="3"/>
        <v>2013</v>
      </c>
      <c r="I113" s="5">
        <v>1.0</v>
      </c>
      <c r="J113" s="5">
        <v>0.0</v>
      </c>
      <c r="K113" s="6">
        <f t="shared" si="4"/>
        <v>0</v>
      </c>
    </row>
    <row r="114" ht="17.25" customHeight="1">
      <c r="B114" s="3" t="s">
        <v>122</v>
      </c>
      <c r="C114" s="4">
        <v>9482.0</v>
      </c>
      <c r="D114" s="5">
        <v>70.0</v>
      </c>
      <c r="E114" s="5">
        <v>5.0</v>
      </c>
      <c r="F114" s="6">
        <f t="shared" si="1"/>
        <v>0.07142857143</v>
      </c>
      <c r="G114" s="4">
        <f t="shared" si="2"/>
        <v>1896.4</v>
      </c>
      <c r="H114" s="4">
        <f t="shared" si="3"/>
        <v>0</v>
      </c>
      <c r="I114" s="5">
        <v>0.0</v>
      </c>
      <c r="J114" s="5">
        <v>0.0</v>
      </c>
      <c r="K114" s="6">
        <f t="shared" si="4"/>
        <v>0</v>
      </c>
    </row>
    <row r="115" ht="17.25" customHeight="1">
      <c r="B115" s="3" t="s">
        <v>123</v>
      </c>
      <c r="C115" s="4">
        <v>693.0</v>
      </c>
      <c r="D115" s="5">
        <v>76.0</v>
      </c>
      <c r="E115" s="5">
        <v>9.0</v>
      </c>
      <c r="F115" s="6">
        <f t="shared" si="1"/>
        <v>0.1184210526</v>
      </c>
      <c r="G115" s="4">
        <f t="shared" si="2"/>
        <v>77</v>
      </c>
      <c r="H115" s="4">
        <f t="shared" si="3"/>
        <v>346.5</v>
      </c>
      <c r="I115" s="5">
        <v>2.0</v>
      </c>
      <c r="J115" s="5">
        <v>0.0</v>
      </c>
      <c r="K115" s="6">
        <f t="shared" si="4"/>
        <v>0</v>
      </c>
    </row>
    <row r="116" ht="17.25" customHeight="1">
      <c r="B116" s="3" t="s">
        <v>124</v>
      </c>
      <c r="C116" s="4">
        <v>77.0</v>
      </c>
      <c r="D116" s="5">
        <v>6.0</v>
      </c>
      <c r="E116" s="5">
        <v>1.0</v>
      </c>
      <c r="F116" s="6">
        <f t="shared" si="1"/>
        <v>0.1666666667</v>
      </c>
      <c r="G116" s="4">
        <f t="shared" si="2"/>
        <v>77</v>
      </c>
      <c r="H116" s="4">
        <f t="shared" si="3"/>
        <v>0</v>
      </c>
      <c r="I116" s="5">
        <v>0.0</v>
      </c>
      <c r="J116" s="5">
        <v>0.0</v>
      </c>
      <c r="K116" s="6">
        <f t="shared" si="4"/>
        <v>0</v>
      </c>
    </row>
    <row r="117" ht="17.25" customHeight="1">
      <c r="B117" s="3" t="s">
        <v>125</v>
      </c>
      <c r="C117" s="4">
        <v>154.0</v>
      </c>
      <c r="D117" s="5">
        <v>11.0</v>
      </c>
      <c r="E117" s="5">
        <v>2.0</v>
      </c>
      <c r="F117" s="6">
        <f t="shared" si="1"/>
        <v>0.1818181818</v>
      </c>
      <c r="G117" s="4">
        <f t="shared" si="2"/>
        <v>77</v>
      </c>
      <c r="H117" s="4">
        <f t="shared" si="3"/>
        <v>0</v>
      </c>
      <c r="I117" s="5">
        <v>0.0</v>
      </c>
      <c r="J117" s="5">
        <v>0.0</v>
      </c>
      <c r="K117" s="6">
        <f t="shared" si="4"/>
        <v>0</v>
      </c>
    </row>
    <row r="118" ht="17.25" customHeight="1">
      <c r="B118" s="3" t="s">
        <v>126</v>
      </c>
      <c r="C118" s="4">
        <v>58344.0</v>
      </c>
      <c r="D118" s="5">
        <v>1614.0</v>
      </c>
      <c r="E118" s="5">
        <v>51.0</v>
      </c>
      <c r="F118" s="6">
        <f t="shared" si="1"/>
        <v>0.03159851301</v>
      </c>
      <c r="G118" s="4">
        <f t="shared" si="2"/>
        <v>1144</v>
      </c>
      <c r="H118" s="4">
        <f t="shared" si="3"/>
        <v>2431</v>
      </c>
      <c r="I118" s="5">
        <v>24.0</v>
      </c>
      <c r="J118" s="5">
        <v>435021.0</v>
      </c>
      <c r="K118" s="6">
        <f t="shared" si="4"/>
        <v>7.456139449</v>
      </c>
    </row>
    <row r="119" ht="17.25" customHeight="1">
      <c r="B119" s="3" t="s">
        <v>127</v>
      </c>
      <c r="C119" s="4">
        <v>99.0</v>
      </c>
      <c r="D119" s="5">
        <v>7.0</v>
      </c>
      <c r="E119" s="5">
        <v>1.0</v>
      </c>
      <c r="F119" s="6">
        <f t="shared" si="1"/>
        <v>0.1428571429</v>
      </c>
      <c r="G119" s="4">
        <f t="shared" si="2"/>
        <v>99</v>
      </c>
      <c r="H119" s="4">
        <f t="shared" si="3"/>
        <v>49.5</v>
      </c>
      <c r="I119" s="5">
        <v>2.0</v>
      </c>
      <c r="J119" s="5">
        <v>0.0</v>
      </c>
      <c r="K119" s="6">
        <f t="shared" si="4"/>
        <v>0</v>
      </c>
    </row>
    <row r="120" ht="17.25" customHeight="1">
      <c r="B120" s="3" t="s">
        <v>128</v>
      </c>
      <c r="C120" s="4">
        <v>77.0</v>
      </c>
      <c r="D120" s="5">
        <v>7.0</v>
      </c>
      <c r="E120" s="5">
        <v>1.0</v>
      </c>
      <c r="F120" s="6">
        <f t="shared" si="1"/>
        <v>0.1428571429</v>
      </c>
      <c r="G120" s="4">
        <f t="shared" si="2"/>
        <v>77</v>
      </c>
      <c r="H120" s="4">
        <f t="shared" si="3"/>
        <v>0</v>
      </c>
      <c r="I120" s="5">
        <v>0.0</v>
      </c>
      <c r="J120" s="5">
        <v>0.0</v>
      </c>
      <c r="K120" s="6">
        <f t="shared" si="4"/>
        <v>0</v>
      </c>
    </row>
    <row r="121" ht="17.25" customHeight="1">
      <c r="B121" s="3" t="s">
        <v>129</v>
      </c>
      <c r="C121" s="4">
        <v>3685.0</v>
      </c>
      <c r="D121" s="5">
        <v>28.0</v>
      </c>
      <c r="E121" s="5">
        <v>6.0</v>
      </c>
      <c r="F121" s="6">
        <f t="shared" si="1"/>
        <v>0.2142857143</v>
      </c>
      <c r="G121" s="4">
        <f t="shared" si="2"/>
        <v>614.1666667</v>
      </c>
      <c r="H121" s="4">
        <f t="shared" si="3"/>
        <v>460.625</v>
      </c>
      <c r="I121" s="5">
        <v>8.0</v>
      </c>
      <c r="J121" s="5">
        <v>336007.0</v>
      </c>
      <c r="K121" s="6">
        <f t="shared" si="4"/>
        <v>91.18236092</v>
      </c>
    </row>
    <row r="122" ht="17.25" customHeight="1">
      <c r="B122" s="3" t="s">
        <v>130</v>
      </c>
      <c r="C122" s="4">
        <v>77.0</v>
      </c>
      <c r="D122" s="5">
        <v>5.0</v>
      </c>
      <c r="E122" s="5">
        <v>1.0</v>
      </c>
      <c r="F122" s="6">
        <f t="shared" si="1"/>
        <v>0.2</v>
      </c>
      <c r="G122" s="4">
        <f t="shared" si="2"/>
        <v>77</v>
      </c>
      <c r="H122" s="4">
        <f t="shared" si="3"/>
        <v>0</v>
      </c>
      <c r="I122" s="5">
        <v>0.0</v>
      </c>
      <c r="J122" s="5">
        <v>0.0</v>
      </c>
      <c r="K122" s="6">
        <f t="shared" si="4"/>
        <v>0</v>
      </c>
    </row>
    <row r="123" ht="17.25" customHeight="1">
      <c r="B123" s="3" t="s">
        <v>131</v>
      </c>
      <c r="C123" s="4">
        <v>154.0</v>
      </c>
      <c r="D123" s="5">
        <v>14.0</v>
      </c>
      <c r="E123" s="5">
        <v>2.0</v>
      </c>
      <c r="F123" s="6">
        <f t="shared" si="1"/>
        <v>0.1428571429</v>
      </c>
      <c r="G123" s="4">
        <f t="shared" si="2"/>
        <v>77</v>
      </c>
      <c r="H123" s="4">
        <f t="shared" si="3"/>
        <v>0</v>
      </c>
      <c r="I123" s="5">
        <v>0.0</v>
      </c>
      <c r="J123" s="5">
        <v>0.0</v>
      </c>
      <c r="K123" s="6">
        <f t="shared" si="4"/>
        <v>0</v>
      </c>
    </row>
    <row r="124" ht="17.25" customHeight="1">
      <c r="B124" s="3" t="s">
        <v>132</v>
      </c>
      <c r="C124" s="4">
        <v>355663.0</v>
      </c>
      <c r="D124" s="5">
        <v>5335.0</v>
      </c>
      <c r="E124" s="5">
        <v>179.0</v>
      </c>
      <c r="F124" s="6">
        <f t="shared" si="1"/>
        <v>0.033552015</v>
      </c>
      <c r="G124" s="4">
        <f t="shared" si="2"/>
        <v>1986.944134</v>
      </c>
      <c r="H124" s="4">
        <f t="shared" si="3"/>
        <v>4679.776316</v>
      </c>
      <c r="I124" s="5">
        <v>76.0</v>
      </c>
      <c r="J124" s="5">
        <v>2969563.0</v>
      </c>
      <c r="K124" s="6">
        <f t="shared" si="4"/>
        <v>8.349372861</v>
      </c>
    </row>
    <row r="125" ht="17.25" customHeight="1">
      <c r="B125" s="3" t="s">
        <v>133</v>
      </c>
      <c r="C125" s="4">
        <v>154.0</v>
      </c>
      <c r="D125" s="5">
        <v>4.0</v>
      </c>
      <c r="E125" s="5">
        <v>2.0</v>
      </c>
      <c r="F125" s="6">
        <f t="shared" si="1"/>
        <v>0.5</v>
      </c>
      <c r="G125" s="4">
        <f t="shared" si="2"/>
        <v>77</v>
      </c>
      <c r="H125" s="4">
        <f t="shared" si="3"/>
        <v>77</v>
      </c>
      <c r="I125" s="5">
        <v>2.0</v>
      </c>
      <c r="J125" s="5">
        <v>0.0</v>
      </c>
      <c r="K125" s="6">
        <f t="shared" si="4"/>
        <v>0</v>
      </c>
    </row>
    <row r="126" ht="17.25" customHeight="1">
      <c r="B126" s="3" t="s">
        <v>134</v>
      </c>
      <c r="C126" s="4">
        <v>77.0</v>
      </c>
      <c r="D126" s="5">
        <v>2.0</v>
      </c>
      <c r="E126" s="5">
        <v>1.0</v>
      </c>
      <c r="F126" s="6">
        <f t="shared" si="1"/>
        <v>0.5</v>
      </c>
      <c r="G126" s="4">
        <f t="shared" si="2"/>
        <v>77</v>
      </c>
      <c r="H126" s="4">
        <f t="shared" si="3"/>
        <v>0</v>
      </c>
      <c r="I126" s="5">
        <v>0.0</v>
      </c>
      <c r="J126" s="5">
        <v>0.0</v>
      </c>
      <c r="K126" s="6">
        <f t="shared" si="4"/>
        <v>0</v>
      </c>
    </row>
    <row r="127" ht="17.25" customHeight="1">
      <c r="B127" s="3" t="s">
        <v>135</v>
      </c>
      <c r="C127" s="4">
        <v>60951.0</v>
      </c>
      <c r="D127" s="5">
        <v>4776.0</v>
      </c>
      <c r="E127" s="5">
        <v>38.0</v>
      </c>
      <c r="F127" s="6">
        <f t="shared" si="1"/>
        <v>0.007956448911</v>
      </c>
      <c r="G127" s="4">
        <f t="shared" si="2"/>
        <v>1603.973684</v>
      </c>
      <c r="H127" s="4">
        <f t="shared" si="3"/>
        <v>0</v>
      </c>
      <c r="I127" s="5">
        <v>0.0</v>
      </c>
      <c r="J127" s="5">
        <v>0.0</v>
      </c>
      <c r="K127" s="6">
        <f t="shared" si="4"/>
        <v>0</v>
      </c>
    </row>
    <row r="128" ht="17.25" customHeight="1">
      <c r="B128" s="3" t="s">
        <v>136</v>
      </c>
      <c r="C128" s="4">
        <v>49863.0</v>
      </c>
      <c r="D128" s="5">
        <v>2162.0</v>
      </c>
      <c r="E128" s="5">
        <v>26.0</v>
      </c>
      <c r="F128" s="6">
        <f t="shared" si="1"/>
        <v>0.01202590194</v>
      </c>
      <c r="G128" s="4">
        <f t="shared" si="2"/>
        <v>1917.807692</v>
      </c>
      <c r="H128" s="4">
        <f t="shared" si="3"/>
        <v>0</v>
      </c>
      <c r="I128" s="5">
        <v>0.0</v>
      </c>
      <c r="J128" s="5">
        <v>0.0</v>
      </c>
      <c r="K128" s="6">
        <f t="shared" si="4"/>
        <v>0</v>
      </c>
    </row>
    <row r="129" ht="17.25" customHeight="1">
      <c r="B129" s="3" t="s">
        <v>137</v>
      </c>
      <c r="C129" s="4">
        <v>1727.0</v>
      </c>
      <c r="D129" s="5">
        <v>632.0</v>
      </c>
      <c r="E129" s="5">
        <v>3.0</v>
      </c>
      <c r="F129" s="6">
        <f t="shared" si="1"/>
        <v>0.004746835443</v>
      </c>
      <c r="G129" s="4">
        <f t="shared" si="2"/>
        <v>575.6666667</v>
      </c>
      <c r="H129" s="4">
        <f t="shared" si="3"/>
        <v>0</v>
      </c>
      <c r="I129" s="5">
        <v>0.0</v>
      </c>
      <c r="J129" s="5">
        <v>0.0</v>
      </c>
      <c r="K129" s="6">
        <f t="shared" si="4"/>
        <v>0</v>
      </c>
    </row>
    <row r="130" ht="17.25" customHeight="1">
      <c r="B130" s="3" t="s">
        <v>138</v>
      </c>
      <c r="C130" s="4">
        <v>594341.0</v>
      </c>
      <c r="D130" s="5">
        <v>39475.0</v>
      </c>
      <c r="E130" s="5">
        <v>182.0</v>
      </c>
      <c r="F130" s="6">
        <f t="shared" si="1"/>
        <v>0.004610512983</v>
      </c>
      <c r="G130" s="4">
        <f t="shared" si="2"/>
        <v>3265.60989</v>
      </c>
      <c r="H130" s="4">
        <f t="shared" si="3"/>
        <v>198113.6667</v>
      </c>
      <c r="I130" s="5">
        <v>3.0</v>
      </c>
      <c r="J130" s="5">
        <v>0.0</v>
      </c>
      <c r="K130" s="6">
        <f t="shared" si="4"/>
        <v>0</v>
      </c>
    </row>
    <row r="131" ht="17.25" customHeight="1">
      <c r="B131" s="3" t="s">
        <v>139</v>
      </c>
      <c r="C131" s="4">
        <v>332640.0</v>
      </c>
      <c r="D131" s="5">
        <v>26611.0</v>
      </c>
      <c r="E131" s="5">
        <v>168.0</v>
      </c>
      <c r="F131" s="6">
        <f t="shared" si="1"/>
        <v>0.006313178761</v>
      </c>
      <c r="G131" s="4">
        <f t="shared" si="2"/>
        <v>1980</v>
      </c>
      <c r="H131" s="4">
        <f t="shared" si="3"/>
        <v>0</v>
      </c>
      <c r="I131" s="5">
        <v>0.0</v>
      </c>
      <c r="J131" s="5">
        <v>0.0</v>
      </c>
      <c r="K131" s="6">
        <f t="shared" si="4"/>
        <v>0</v>
      </c>
    </row>
    <row r="132" ht="17.25" customHeight="1">
      <c r="B132" s="3" t="s">
        <v>140</v>
      </c>
      <c r="C132" s="4">
        <v>1430.0</v>
      </c>
      <c r="D132" s="5">
        <v>6.0</v>
      </c>
      <c r="E132" s="5">
        <v>1.0</v>
      </c>
      <c r="F132" s="6">
        <f t="shared" si="1"/>
        <v>0.1666666667</v>
      </c>
      <c r="G132" s="4">
        <f t="shared" si="2"/>
        <v>1430</v>
      </c>
      <c r="H132" s="4">
        <f t="shared" si="3"/>
        <v>0</v>
      </c>
      <c r="I132" s="5">
        <v>0.0</v>
      </c>
      <c r="J132" s="5">
        <v>0.0</v>
      </c>
      <c r="K132" s="6">
        <f t="shared" si="4"/>
        <v>0</v>
      </c>
    </row>
    <row r="133" ht="17.25" customHeight="1">
      <c r="B133" s="3" t="s">
        <v>141</v>
      </c>
      <c r="C133" s="4">
        <v>136400.0</v>
      </c>
      <c r="D133" s="5">
        <v>8446.0</v>
      </c>
      <c r="E133" s="5">
        <v>69.0</v>
      </c>
      <c r="F133" s="6">
        <f t="shared" si="1"/>
        <v>0.008169547715</v>
      </c>
      <c r="G133" s="4">
        <f t="shared" si="2"/>
        <v>1976.811594</v>
      </c>
      <c r="H133" s="4">
        <f t="shared" si="3"/>
        <v>0</v>
      </c>
      <c r="I133" s="5">
        <v>0.0</v>
      </c>
      <c r="J133" s="5">
        <v>0.0</v>
      </c>
      <c r="K133" s="6">
        <f t="shared" si="4"/>
        <v>0</v>
      </c>
    </row>
    <row r="134" ht="17.25" customHeight="1">
      <c r="B134" s="3" t="s">
        <v>142</v>
      </c>
      <c r="C134" s="4">
        <v>7458.0</v>
      </c>
      <c r="D134" s="5">
        <v>108.0</v>
      </c>
      <c r="E134" s="5">
        <v>6.0</v>
      </c>
      <c r="F134" s="6">
        <f t="shared" si="1"/>
        <v>0.05555555556</v>
      </c>
      <c r="G134" s="4">
        <f t="shared" si="2"/>
        <v>1243</v>
      </c>
      <c r="H134" s="4">
        <f t="shared" si="3"/>
        <v>828.6666667</v>
      </c>
      <c r="I134" s="5">
        <v>9.0</v>
      </c>
      <c r="J134" s="5">
        <v>0.0</v>
      </c>
      <c r="K134" s="6">
        <f t="shared" si="4"/>
        <v>0</v>
      </c>
    </row>
    <row r="135" ht="17.25" customHeight="1">
      <c r="B135" s="3" t="s">
        <v>143</v>
      </c>
      <c r="C135" s="4">
        <v>29337.0</v>
      </c>
      <c r="D135" s="5">
        <v>359.0</v>
      </c>
      <c r="E135" s="5">
        <v>14.0</v>
      </c>
      <c r="F135" s="6">
        <f t="shared" si="1"/>
        <v>0.03899721448</v>
      </c>
      <c r="G135" s="4">
        <f t="shared" si="2"/>
        <v>2095.5</v>
      </c>
      <c r="H135" s="4">
        <f t="shared" si="3"/>
        <v>0</v>
      </c>
      <c r="I135" s="5">
        <v>0.0</v>
      </c>
      <c r="J135" s="5">
        <v>0.0</v>
      </c>
      <c r="K135" s="6">
        <f t="shared" si="4"/>
        <v>0</v>
      </c>
    </row>
    <row r="136" ht="17.25" customHeight="1">
      <c r="B136" s="3" t="s">
        <v>144</v>
      </c>
      <c r="C136" s="4">
        <v>825.0</v>
      </c>
      <c r="D136" s="5">
        <v>33.0</v>
      </c>
      <c r="E136" s="5">
        <v>2.0</v>
      </c>
      <c r="F136" s="6">
        <f t="shared" si="1"/>
        <v>0.06060606061</v>
      </c>
      <c r="G136" s="4">
        <f t="shared" si="2"/>
        <v>412.5</v>
      </c>
      <c r="H136" s="4">
        <f t="shared" si="3"/>
        <v>412.5</v>
      </c>
      <c r="I136" s="5">
        <v>2.0</v>
      </c>
      <c r="J136" s="5">
        <v>0.0</v>
      </c>
      <c r="K136" s="6">
        <f t="shared" si="4"/>
        <v>0</v>
      </c>
    </row>
    <row r="137" ht="17.25" customHeight="1">
      <c r="B137" s="3" t="s">
        <v>145</v>
      </c>
      <c r="C137" s="4">
        <v>107877.0</v>
      </c>
      <c r="D137" s="5">
        <v>4392.0</v>
      </c>
      <c r="E137" s="5">
        <v>45.0</v>
      </c>
      <c r="F137" s="6">
        <f t="shared" si="1"/>
        <v>0.01024590164</v>
      </c>
      <c r="G137" s="4">
        <f t="shared" si="2"/>
        <v>2397.266667</v>
      </c>
      <c r="H137" s="4">
        <f t="shared" si="3"/>
        <v>0</v>
      </c>
      <c r="I137" s="5">
        <v>0.0</v>
      </c>
      <c r="J137" s="5">
        <v>0.0</v>
      </c>
      <c r="K137" s="6">
        <f t="shared" si="4"/>
        <v>0</v>
      </c>
    </row>
    <row r="138" ht="17.25" customHeight="1">
      <c r="B138" s="3" t="s">
        <v>146</v>
      </c>
      <c r="C138" s="4">
        <v>16709.0</v>
      </c>
      <c r="D138" s="5">
        <v>373.0</v>
      </c>
      <c r="E138" s="5">
        <v>17.0</v>
      </c>
      <c r="F138" s="6">
        <f t="shared" si="1"/>
        <v>0.04557640751</v>
      </c>
      <c r="G138" s="4">
        <f t="shared" si="2"/>
        <v>982.8823529</v>
      </c>
      <c r="H138" s="4">
        <f t="shared" si="3"/>
        <v>2784.833333</v>
      </c>
      <c r="I138" s="5">
        <v>6.0</v>
      </c>
      <c r="J138" s="5">
        <v>0.0</v>
      </c>
      <c r="K138" s="6">
        <f t="shared" si="4"/>
        <v>0</v>
      </c>
    </row>
    <row r="139" ht="17.25" customHeight="1">
      <c r="B139" s="3" t="s">
        <v>147</v>
      </c>
      <c r="C139" s="4">
        <v>418.0</v>
      </c>
      <c r="D139" s="5">
        <v>6.0</v>
      </c>
      <c r="E139" s="5">
        <v>1.0</v>
      </c>
      <c r="F139" s="6">
        <f t="shared" si="1"/>
        <v>0.1666666667</v>
      </c>
      <c r="G139" s="4">
        <f t="shared" si="2"/>
        <v>418</v>
      </c>
      <c r="H139" s="4">
        <f t="shared" si="3"/>
        <v>0</v>
      </c>
      <c r="I139" s="5">
        <v>0.0</v>
      </c>
      <c r="J139" s="5">
        <v>0.0</v>
      </c>
      <c r="K139" s="6">
        <f t="shared" si="4"/>
        <v>0</v>
      </c>
    </row>
    <row r="140" ht="17.25" customHeight="1">
      <c r="B140" s="3" t="s">
        <v>148</v>
      </c>
      <c r="C140" s="4">
        <v>3058.0</v>
      </c>
      <c r="D140" s="5">
        <v>34.0</v>
      </c>
      <c r="E140" s="5">
        <v>3.0</v>
      </c>
      <c r="F140" s="6">
        <f t="shared" si="1"/>
        <v>0.08823529412</v>
      </c>
      <c r="G140" s="4">
        <f t="shared" si="2"/>
        <v>1019.333333</v>
      </c>
      <c r="H140" s="4">
        <f t="shared" si="3"/>
        <v>0</v>
      </c>
      <c r="I140" s="5">
        <v>0.0</v>
      </c>
      <c r="J140" s="5">
        <v>0.0</v>
      </c>
      <c r="K140" s="6">
        <f t="shared" si="4"/>
        <v>0</v>
      </c>
    </row>
    <row r="141" ht="17.25" customHeight="1">
      <c r="B141" s="3" t="s">
        <v>149</v>
      </c>
      <c r="C141" s="4">
        <v>935.0</v>
      </c>
      <c r="D141" s="5">
        <v>2.0</v>
      </c>
      <c r="E141" s="5">
        <v>1.0</v>
      </c>
      <c r="F141" s="6">
        <f t="shared" si="1"/>
        <v>0.5</v>
      </c>
      <c r="G141" s="4">
        <f t="shared" si="2"/>
        <v>935</v>
      </c>
      <c r="H141" s="4">
        <f t="shared" si="3"/>
        <v>0</v>
      </c>
      <c r="I141" s="5">
        <v>0.0</v>
      </c>
      <c r="J141" s="5">
        <v>0.0</v>
      </c>
      <c r="K141" s="6">
        <f t="shared" si="4"/>
        <v>0</v>
      </c>
    </row>
    <row r="142" ht="17.25" customHeight="1">
      <c r="B142" s="3" t="s">
        <v>150</v>
      </c>
      <c r="C142" s="4">
        <v>1188.0</v>
      </c>
      <c r="D142" s="5">
        <v>5.0</v>
      </c>
      <c r="E142" s="5">
        <v>1.0</v>
      </c>
      <c r="F142" s="6">
        <f t="shared" si="1"/>
        <v>0.2</v>
      </c>
      <c r="G142" s="4">
        <f t="shared" si="2"/>
        <v>1188</v>
      </c>
      <c r="H142" s="4">
        <f t="shared" si="3"/>
        <v>0</v>
      </c>
      <c r="I142" s="5">
        <v>0.0</v>
      </c>
      <c r="J142" s="5">
        <v>0.0</v>
      </c>
      <c r="K142" s="6">
        <f t="shared" si="4"/>
        <v>0</v>
      </c>
    </row>
    <row r="143" ht="17.25" customHeight="1">
      <c r="B143" s="3" t="s">
        <v>151</v>
      </c>
      <c r="C143" s="4">
        <v>2805.0</v>
      </c>
      <c r="D143" s="5">
        <v>99.0</v>
      </c>
      <c r="E143" s="5">
        <v>3.0</v>
      </c>
      <c r="F143" s="6">
        <f t="shared" si="1"/>
        <v>0.0303030303</v>
      </c>
      <c r="G143" s="4">
        <f t="shared" si="2"/>
        <v>935</v>
      </c>
      <c r="H143" s="4">
        <f t="shared" si="3"/>
        <v>2805</v>
      </c>
      <c r="I143" s="5">
        <v>1.0</v>
      </c>
      <c r="J143" s="5">
        <v>0.0</v>
      </c>
      <c r="K143" s="6">
        <f t="shared" si="4"/>
        <v>0</v>
      </c>
    </row>
    <row r="144" ht="17.25" customHeight="1">
      <c r="B144" s="3" t="s">
        <v>152</v>
      </c>
      <c r="C144" s="4">
        <v>1012.0</v>
      </c>
      <c r="D144" s="5">
        <v>30.0</v>
      </c>
      <c r="E144" s="5">
        <v>1.0</v>
      </c>
      <c r="F144" s="6">
        <f t="shared" si="1"/>
        <v>0.03333333333</v>
      </c>
      <c r="G144" s="4">
        <f t="shared" si="2"/>
        <v>1012</v>
      </c>
      <c r="H144" s="4">
        <f t="shared" si="3"/>
        <v>0</v>
      </c>
      <c r="I144" s="5">
        <v>0.0</v>
      </c>
      <c r="J144" s="5">
        <v>0.0</v>
      </c>
      <c r="K144" s="6">
        <f t="shared" si="4"/>
        <v>0</v>
      </c>
    </row>
    <row r="145" ht="17.25" customHeight="1">
      <c r="B145" s="3" t="s">
        <v>153</v>
      </c>
      <c r="C145" s="4">
        <v>4862.0</v>
      </c>
      <c r="D145" s="5">
        <v>71.0</v>
      </c>
      <c r="E145" s="5">
        <v>6.0</v>
      </c>
      <c r="F145" s="6">
        <f t="shared" si="1"/>
        <v>0.08450704225</v>
      </c>
      <c r="G145" s="4">
        <f t="shared" si="2"/>
        <v>810.3333333</v>
      </c>
      <c r="H145" s="4">
        <f t="shared" si="3"/>
        <v>0</v>
      </c>
      <c r="I145" s="5">
        <v>0.0</v>
      </c>
      <c r="J145" s="5">
        <v>0.0</v>
      </c>
      <c r="K145" s="6">
        <f t="shared" si="4"/>
        <v>0</v>
      </c>
    </row>
    <row r="146" ht="17.25" customHeight="1">
      <c r="B146" s="3" t="s">
        <v>154</v>
      </c>
      <c r="C146" s="4">
        <v>4059.0</v>
      </c>
      <c r="D146" s="5">
        <v>52.0</v>
      </c>
      <c r="E146" s="5">
        <v>4.0</v>
      </c>
      <c r="F146" s="6">
        <f t="shared" si="1"/>
        <v>0.07692307692</v>
      </c>
      <c r="G146" s="4">
        <f t="shared" si="2"/>
        <v>1014.75</v>
      </c>
      <c r="H146" s="4">
        <f t="shared" si="3"/>
        <v>0</v>
      </c>
      <c r="I146" s="5">
        <v>0.0</v>
      </c>
      <c r="J146" s="5">
        <v>0.0</v>
      </c>
      <c r="K146" s="6">
        <f t="shared" si="4"/>
        <v>0</v>
      </c>
    </row>
    <row r="147" ht="17.25" customHeight="1">
      <c r="B147" s="3" t="s">
        <v>155</v>
      </c>
      <c r="C147" s="4">
        <v>17941.0</v>
      </c>
      <c r="D147" s="5">
        <v>131.0</v>
      </c>
      <c r="E147" s="5">
        <v>11.0</v>
      </c>
      <c r="F147" s="6">
        <f t="shared" si="1"/>
        <v>0.08396946565</v>
      </c>
      <c r="G147" s="4">
        <f t="shared" si="2"/>
        <v>1631</v>
      </c>
      <c r="H147" s="4">
        <f t="shared" si="3"/>
        <v>0</v>
      </c>
      <c r="I147" s="5">
        <v>0.0</v>
      </c>
      <c r="J147" s="5">
        <v>0.0</v>
      </c>
      <c r="K147" s="6">
        <f t="shared" si="4"/>
        <v>0</v>
      </c>
    </row>
    <row r="148" ht="17.25" customHeight="1">
      <c r="B148" s="3" t="s">
        <v>156</v>
      </c>
      <c r="C148" s="4">
        <v>13717.0</v>
      </c>
      <c r="D148" s="5">
        <v>3140.0</v>
      </c>
      <c r="E148" s="5">
        <v>12.0</v>
      </c>
      <c r="F148" s="6">
        <f t="shared" si="1"/>
        <v>0.003821656051</v>
      </c>
      <c r="G148" s="4">
        <f t="shared" si="2"/>
        <v>1143.083333</v>
      </c>
      <c r="H148" s="4">
        <f t="shared" si="3"/>
        <v>0</v>
      </c>
      <c r="I148" s="5">
        <v>0.0</v>
      </c>
      <c r="J148" s="5">
        <v>0.0</v>
      </c>
      <c r="K148" s="6">
        <f t="shared" si="4"/>
        <v>0</v>
      </c>
    </row>
    <row r="149" ht="17.25" customHeight="1">
      <c r="B149" s="3" t="s">
        <v>157</v>
      </c>
      <c r="C149" s="4">
        <v>40502.0</v>
      </c>
      <c r="D149" s="5">
        <v>1695.0</v>
      </c>
      <c r="E149" s="5">
        <v>38.0</v>
      </c>
      <c r="F149" s="6">
        <f t="shared" si="1"/>
        <v>0.02241887906</v>
      </c>
      <c r="G149" s="4">
        <f t="shared" si="2"/>
        <v>1065.842105</v>
      </c>
      <c r="H149" s="4">
        <f t="shared" si="3"/>
        <v>10125.5</v>
      </c>
      <c r="I149" s="5">
        <v>4.0</v>
      </c>
      <c r="J149" s="5">
        <v>0.0</v>
      </c>
      <c r="K149" s="6">
        <f t="shared" si="4"/>
        <v>0</v>
      </c>
    </row>
    <row r="150" ht="17.25" customHeight="1">
      <c r="B150" s="3" t="s">
        <v>158</v>
      </c>
      <c r="C150" s="4">
        <v>6105.0</v>
      </c>
      <c r="D150" s="5">
        <v>1201.0</v>
      </c>
      <c r="E150" s="5">
        <v>6.0</v>
      </c>
      <c r="F150" s="6">
        <f t="shared" si="1"/>
        <v>0.004995836803</v>
      </c>
      <c r="G150" s="4">
        <f t="shared" si="2"/>
        <v>1017.5</v>
      </c>
      <c r="H150" s="4">
        <f t="shared" si="3"/>
        <v>0</v>
      </c>
      <c r="I150" s="5">
        <v>0.0</v>
      </c>
      <c r="J150" s="5">
        <v>0.0</v>
      </c>
      <c r="K150" s="6">
        <f t="shared" si="4"/>
        <v>0</v>
      </c>
    </row>
    <row r="151" ht="17.25" customHeight="1">
      <c r="B151" s="3" t="s">
        <v>159</v>
      </c>
      <c r="C151" s="4">
        <v>12496.0</v>
      </c>
      <c r="D151" s="5">
        <v>174.0</v>
      </c>
      <c r="E151" s="5">
        <v>9.0</v>
      </c>
      <c r="F151" s="6">
        <f t="shared" si="1"/>
        <v>0.05172413793</v>
      </c>
      <c r="G151" s="4">
        <f t="shared" si="2"/>
        <v>1388.444444</v>
      </c>
      <c r="H151" s="4">
        <f t="shared" si="3"/>
        <v>2499.2</v>
      </c>
      <c r="I151" s="5">
        <v>5.0</v>
      </c>
      <c r="J151" s="5">
        <v>0.0</v>
      </c>
      <c r="K151" s="6">
        <f t="shared" si="4"/>
        <v>0</v>
      </c>
    </row>
    <row r="152" ht="17.25" customHeight="1">
      <c r="B152" s="3" t="s">
        <v>160</v>
      </c>
      <c r="C152" s="4">
        <v>46684.0</v>
      </c>
      <c r="D152" s="5">
        <v>4412.0</v>
      </c>
      <c r="E152" s="5">
        <v>37.0</v>
      </c>
      <c r="F152" s="6">
        <f t="shared" si="1"/>
        <v>0.008386219402</v>
      </c>
      <c r="G152" s="4">
        <f t="shared" si="2"/>
        <v>1261.72973</v>
      </c>
      <c r="H152" s="4">
        <f t="shared" si="3"/>
        <v>0</v>
      </c>
      <c r="I152" s="5">
        <v>0.0</v>
      </c>
      <c r="J152" s="5">
        <v>0.0</v>
      </c>
      <c r="K152" s="6">
        <f t="shared" si="4"/>
        <v>0</v>
      </c>
    </row>
    <row r="153" ht="17.25" customHeight="1">
      <c r="B153" s="3" t="s">
        <v>161</v>
      </c>
      <c r="C153" s="4">
        <v>14157.0</v>
      </c>
      <c r="D153" s="5">
        <v>407.0</v>
      </c>
      <c r="E153" s="5">
        <v>16.0</v>
      </c>
      <c r="F153" s="6">
        <f t="shared" si="1"/>
        <v>0.03931203931</v>
      </c>
      <c r="G153" s="4">
        <f t="shared" si="2"/>
        <v>884.8125</v>
      </c>
      <c r="H153" s="4">
        <f t="shared" si="3"/>
        <v>0</v>
      </c>
      <c r="I153" s="5">
        <v>0.0</v>
      </c>
      <c r="J153" s="5">
        <v>0.0</v>
      </c>
      <c r="K153" s="6">
        <f t="shared" si="4"/>
        <v>0</v>
      </c>
    </row>
    <row r="154" ht="17.25" customHeight="1">
      <c r="B154" s="3" t="s">
        <v>162</v>
      </c>
      <c r="C154" s="4">
        <v>880.0</v>
      </c>
      <c r="D154" s="5">
        <v>13.0</v>
      </c>
      <c r="E154" s="5">
        <v>1.0</v>
      </c>
      <c r="F154" s="6">
        <f t="shared" si="1"/>
        <v>0.07692307692</v>
      </c>
      <c r="G154" s="4">
        <f t="shared" si="2"/>
        <v>880</v>
      </c>
      <c r="H154" s="4">
        <f t="shared" si="3"/>
        <v>0</v>
      </c>
      <c r="I154" s="5">
        <v>0.0</v>
      </c>
      <c r="J154" s="5">
        <v>0.0</v>
      </c>
      <c r="K154" s="6">
        <f t="shared" si="4"/>
        <v>0</v>
      </c>
    </row>
    <row r="155" ht="17.25" customHeight="1">
      <c r="B155" s="3" t="s">
        <v>163</v>
      </c>
      <c r="C155" s="4">
        <v>4015.0</v>
      </c>
      <c r="D155" s="5">
        <v>216.0</v>
      </c>
      <c r="E155" s="5">
        <v>1.0</v>
      </c>
      <c r="F155" s="6">
        <f t="shared" si="1"/>
        <v>0.00462962963</v>
      </c>
      <c r="G155" s="4">
        <f t="shared" si="2"/>
        <v>4015</v>
      </c>
      <c r="H155" s="4">
        <f t="shared" si="3"/>
        <v>0</v>
      </c>
      <c r="I155" s="5">
        <v>0.0</v>
      </c>
      <c r="J155" s="5">
        <v>0.0</v>
      </c>
      <c r="K155" s="6">
        <f t="shared" si="4"/>
        <v>0</v>
      </c>
    </row>
    <row r="156" ht="17.25" customHeight="1">
      <c r="B156" s="3" t="s">
        <v>164</v>
      </c>
      <c r="C156" s="4">
        <v>12694.0</v>
      </c>
      <c r="D156" s="5">
        <v>109.0</v>
      </c>
      <c r="E156" s="5">
        <v>5.0</v>
      </c>
      <c r="F156" s="6">
        <f t="shared" si="1"/>
        <v>0.04587155963</v>
      </c>
      <c r="G156" s="4">
        <f t="shared" si="2"/>
        <v>2538.8</v>
      </c>
      <c r="H156" s="4">
        <f t="shared" si="3"/>
        <v>0</v>
      </c>
      <c r="I156" s="5">
        <v>0.0</v>
      </c>
      <c r="J156" s="5">
        <v>0.0</v>
      </c>
      <c r="K156" s="6">
        <f t="shared" si="4"/>
        <v>0</v>
      </c>
    </row>
    <row r="157" ht="17.25" customHeight="1">
      <c r="B157" s="3" t="s">
        <v>165</v>
      </c>
      <c r="C157" s="4">
        <v>737.0</v>
      </c>
      <c r="D157" s="5">
        <v>7.0</v>
      </c>
      <c r="E157" s="5">
        <v>1.0</v>
      </c>
      <c r="F157" s="6">
        <f t="shared" si="1"/>
        <v>0.1428571429</v>
      </c>
      <c r="G157" s="4">
        <f t="shared" si="2"/>
        <v>737</v>
      </c>
      <c r="H157" s="4">
        <f t="shared" si="3"/>
        <v>0</v>
      </c>
      <c r="I157" s="5">
        <v>0.0</v>
      </c>
      <c r="J157" s="5">
        <v>0.0</v>
      </c>
      <c r="K157" s="6">
        <f t="shared" si="4"/>
        <v>0</v>
      </c>
    </row>
    <row r="158" ht="17.25" customHeight="1">
      <c r="B158" s="3" t="s">
        <v>166</v>
      </c>
      <c r="C158" s="4">
        <v>4972.0</v>
      </c>
      <c r="D158" s="5">
        <v>98.0</v>
      </c>
      <c r="E158" s="5">
        <v>4.0</v>
      </c>
      <c r="F158" s="6">
        <f t="shared" si="1"/>
        <v>0.04081632653</v>
      </c>
      <c r="G158" s="4">
        <f t="shared" si="2"/>
        <v>1243</v>
      </c>
      <c r="H158" s="4">
        <f t="shared" si="3"/>
        <v>0</v>
      </c>
      <c r="I158" s="5">
        <v>0.0</v>
      </c>
      <c r="J158" s="5">
        <v>0.0</v>
      </c>
      <c r="K158" s="6">
        <f t="shared" si="4"/>
        <v>0</v>
      </c>
    </row>
    <row r="159" ht="17.25" customHeight="1">
      <c r="B159" s="3" t="s">
        <v>167</v>
      </c>
      <c r="C159" s="4">
        <v>21626.0</v>
      </c>
      <c r="D159" s="5">
        <v>176.0</v>
      </c>
      <c r="E159" s="5">
        <v>23.0</v>
      </c>
      <c r="F159" s="6">
        <f t="shared" si="1"/>
        <v>0.1306818182</v>
      </c>
      <c r="G159" s="4">
        <f t="shared" si="2"/>
        <v>940.2608696</v>
      </c>
      <c r="H159" s="4">
        <f t="shared" si="3"/>
        <v>5406.5</v>
      </c>
      <c r="I159" s="5">
        <v>4.0</v>
      </c>
      <c r="J159" s="5">
        <v>0.0</v>
      </c>
      <c r="K159" s="6">
        <f t="shared" si="4"/>
        <v>0</v>
      </c>
    </row>
    <row r="160" ht="17.25" customHeight="1">
      <c r="B160" s="3" t="s">
        <v>168</v>
      </c>
      <c r="C160" s="4">
        <v>18062.0</v>
      </c>
      <c r="D160" s="5">
        <v>1099.0</v>
      </c>
      <c r="E160" s="5">
        <v>19.0</v>
      </c>
      <c r="F160" s="6">
        <f t="shared" si="1"/>
        <v>0.01728844404</v>
      </c>
      <c r="G160" s="4">
        <f t="shared" si="2"/>
        <v>950.6315789</v>
      </c>
      <c r="H160" s="4">
        <f t="shared" si="3"/>
        <v>0</v>
      </c>
      <c r="I160" s="5">
        <v>0.0</v>
      </c>
      <c r="J160" s="5">
        <v>0.0</v>
      </c>
      <c r="K160" s="6">
        <f t="shared" si="4"/>
        <v>0</v>
      </c>
    </row>
    <row r="161" ht="17.25" customHeight="1">
      <c r="B161" s="3" t="s">
        <v>169</v>
      </c>
      <c r="C161" s="4">
        <v>550.0</v>
      </c>
      <c r="D161" s="5">
        <v>51.0</v>
      </c>
      <c r="E161" s="5">
        <v>1.0</v>
      </c>
      <c r="F161" s="6">
        <f t="shared" si="1"/>
        <v>0.01960784314</v>
      </c>
      <c r="G161" s="4">
        <f t="shared" si="2"/>
        <v>550</v>
      </c>
      <c r="H161" s="4">
        <f t="shared" si="3"/>
        <v>0</v>
      </c>
      <c r="I161" s="5">
        <v>0.0</v>
      </c>
      <c r="J161" s="5">
        <v>0.0</v>
      </c>
      <c r="K161" s="6">
        <f t="shared" si="4"/>
        <v>0</v>
      </c>
    </row>
    <row r="162" ht="17.25" customHeight="1">
      <c r="B162" s="3" t="s">
        <v>170</v>
      </c>
      <c r="C162" s="4">
        <v>25564.0</v>
      </c>
      <c r="D162" s="5">
        <v>147.0</v>
      </c>
      <c r="E162" s="5">
        <v>20.0</v>
      </c>
      <c r="F162" s="6">
        <f t="shared" si="1"/>
        <v>0.1360544218</v>
      </c>
      <c r="G162" s="4">
        <f t="shared" si="2"/>
        <v>1278.2</v>
      </c>
      <c r="H162" s="4">
        <f t="shared" si="3"/>
        <v>6391</v>
      </c>
      <c r="I162" s="5">
        <v>4.0</v>
      </c>
      <c r="J162" s="5">
        <v>0.0</v>
      </c>
      <c r="K162" s="6">
        <f t="shared" si="4"/>
        <v>0</v>
      </c>
    </row>
    <row r="163" ht="17.25" customHeight="1">
      <c r="B163" s="3" t="s">
        <v>171</v>
      </c>
      <c r="C163" s="4">
        <v>7568.0</v>
      </c>
      <c r="D163" s="5">
        <v>3718.0</v>
      </c>
      <c r="E163" s="5">
        <v>7.0</v>
      </c>
      <c r="F163" s="6">
        <f t="shared" si="1"/>
        <v>0.001882732652</v>
      </c>
      <c r="G163" s="4">
        <f t="shared" si="2"/>
        <v>1081.142857</v>
      </c>
      <c r="H163" s="4">
        <f t="shared" si="3"/>
        <v>0</v>
      </c>
      <c r="I163" s="5">
        <v>0.0</v>
      </c>
      <c r="J163" s="5">
        <v>0.0</v>
      </c>
      <c r="K163" s="6">
        <f t="shared" si="4"/>
        <v>0</v>
      </c>
    </row>
    <row r="164" ht="17.25" customHeight="1">
      <c r="B164" s="3" t="s">
        <v>172</v>
      </c>
      <c r="C164" s="4">
        <v>260238.0</v>
      </c>
      <c r="D164" s="5">
        <v>8527.0</v>
      </c>
      <c r="E164" s="5">
        <v>121.0</v>
      </c>
      <c r="F164" s="6">
        <f t="shared" si="1"/>
        <v>0.0141902193</v>
      </c>
      <c r="G164" s="4">
        <f t="shared" si="2"/>
        <v>2150.727273</v>
      </c>
      <c r="H164" s="4">
        <f t="shared" si="3"/>
        <v>52047.6</v>
      </c>
      <c r="I164" s="5">
        <v>5.0</v>
      </c>
      <c r="J164" s="5">
        <v>0.0</v>
      </c>
      <c r="K164" s="6">
        <f t="shared" si="4"/>
        <v>0</v>
      </c>
    </row>
    <row r="165" ht="17.25" customHeight="1">
      <c r="B165" s="3" t="s">
        <v>173</v>
      </c>
      <c r="C165" s="4">
        <v>3102.0</v>
      </c>
      <c r="D165" s="5">
        <v>13.0</v>
      </c>
      <c r="E165" s="5">
        <v>2.0</v>
      </c>
      <c r="F165" s="6">
        <f t="shared" si="1"/>
        <v>0.1538461538</v>
      </c>
      <c r="G165" s="4">
        <f t="shared" si="2"/>
        <v>1551</v>
      </c>
      <c r="H165" s="4">
        <f t="shared" si="3"/>
        <v>3102</v>
      </c>
      <c r="I165" s="5">
        <v>1.0</v>
      </c>
      <c r="J165" s="5">
        <v>0.0</v>
      </c>
      <c r="K165" s="6">
        <f t="shared" si="4"/>
        <v>0</v>
      </c>
    </row>
    <row r="166" ht="17.25" customHeight="1">
      <c r="B166" s="3" t="s">
        <v>174</v>
      </c>
      <c r="C166" s="4">
        <v>45947.0</v>
      </c>
      <c r="D166" s="5">
        <v>164.0</v>
      </c>
      <c r="E166" s="5">
        <v>25.0</v>
      </c>
      <c r="F166" s="6">
        <f t="shared" si="1"/>
        <v>0.1524390244</v>
      </c>
      <c r="G166" s="4">
        <f t="shared" si="2"/>
        <v>1837.88</v>
      </c>
      <c r="H166" s="4">
        <f t="shared" si="3"/>
        <v>9189.4</v>
      </c>
      <c r="I166" s="5">
        <v>5.0</v>
      </c>
      <c r="J166" s="5">
        <v>0.0</v>
      </c>
      <c r="K166" s="6">
        <f t="shared" si="4"/>
        <v>0</v>
      </c>
    </row>
    <row r="167" ht="17.25" customHeight="1">
      <c r="B167" s="3" t="s">
        <v>175</v>
      </c>
      <c r="C167" s="4">
        <v>84953.0</v>
      </c>
      <c r="D167" s="5">
        <v>5598.0</v>
      </c>
      <c r="E167" s="5">
        <v>91.0</v>
      </c>
      <c r="F167" s="6">
        <f t="shared" si="1"/>
        <v>0.01625580564</v>
      </c>
      <c r="G167" s="4">
        <f t="shared" si="2"/>
        <v>933.5494505</v>
      </c>
      <c r="H167" s="4">
        <f t="shared" si="3"/>
        <v>0</v>
      </c>
      <c r="I167" s="5">
        <v>0.0</v>
      </c>
      <c r="J167" s="5">
        <v>0.0</v>
      </c>
      <c r="K167" s="6">
        <f t="shared" si="4"/>
        <v>0</v>
      </c>
    </row>
    <row r="168" ht="17.25" customHeight="1">
      <c r="B168" s="3" t="s">
        <v>176</v>
      </c>
      <c r="C168" s="4">
        <v>132.0</v>
      </c>
      <c r="D168" s="5">
        <v>38.0</v>
      </c>
      <c r="E168" s="5">
        <v>1.0</v>
      </c>
      <c r="F168" s="6">
        <f t="shared" si="1"/>
        <v>0.02631578947</v>
      </c>
      <c r="G168" s="4">
        <f t="shared" si="2"/>
        <v>132</v>
      </c>
      <c r="H168" s="4">
        <f t="shared" si="3"/>
        <v>0</v>
      </c>
      <c r="I168" s="5">
        <v>0.0</v>
      </c>
      <c r="J168" s="5">
        <v>0.0</v>
      </c>
      <c r="K168" s="6">
        <f t="shared" si="4"/>
        <v>0</v>
      </c>
    </row>
    <row r="169" ht="17.25" customHeight="1">
      <c r="B169" s="3" t="s">
        <v>177</v>
      </c>
      <c r="C169" s="4">
        <v>7381.0</v>
      </c>
      <c r="D169" s="5">
        <v>244.0</v>
      </c>
      <c r="E169" s="5">
        <v>7.0</v>
      </c>
      <c r="F169" s="6">
        <f t="shared" si="1"/>
        <v>0.02868852459</v>
      </c>
      <c r="G169" s="4">
        <f t="shared" si="2"/>
        <v>1054.428571</v>
      </c>
      <c r="H169" s="4">
        <f t="shared" si="3"/>
        <v>0</v>
      </c>
      <c r="I169" s="5">
        <v>0.0</v>
      </c>
      <c r="J169" s="5">
        <v>0.0</v>
      </c>
      <c r="K169" s="6">
        <f t="shared" si="4"/>
        <v>0</v>
      </c>
    </row>
    <row r="170" ht="17.25" customHeight="1">
      <c r="B170" s="3" t="s">
        <v>178</v>
      </c>
      <c r="C170" s="4">
        <v>3927.0</v>
      </c>
      <c r="D170" s="5">
        <v>130.0</v>
      </c>
      <c r="E170" s="5">
        <v>8.0</v>
      </c>
      <c r="F170" s="6">
        <f t="shared" si="1"/>
        <v>0.06153846154</v>
      </c>
      <c r="G170" s="4">
        <f t="shared" si="2"/>
        <v>490.875</v>
      </c>
      <c r="H170" s="4">
        <f t="shared" si="3"/>
        <v>0</v>
      </c>
      <c r="I170" s="5">
        <v>0.0</v>
      </c>
      <c r="J170" s="5">
        <v>0.0</v>
      </c>
      <c r="K170" s="6">
        <f t="shared" si="4"/>
        <v>0</v>
      </c>
    </row>
    <row r="171" ht="17.25" customHeight="1">
      <c r="B171" s="3" t="s">
        <v>179</v>
      </c>
      <c r="C171" s="4">
        <v>13211.0</v>
      </c>
      <c r="D171" s="5">
        <v>236.0</v>
      </c>
      <c r="E171" s="5">
        <v>12.0</v>
      </c>
      <c r="F171" s="6">
        <f t="shared" si="1"/>
        <v>0.05084745763</v>
      </c>
      <c r="G171" s="4">
        <f t="shared" si="2"/>
        <v>1100.916667</v>
      </c>
      <c r="H171" s="4">
        <f t="shared" si="3"/>
        <v>0</v>
      </c>
      <c r="I171" s="5">
        <v>0.0</v>
      </c>
      <c r="J171" s="5">
        <v>0.0</v>
      </c>
      <c r="K171" s="6">
        <f t="shared" si="4"/>
        <v>0</v>
      </c>
    </row>
    <row r="172" ht="17.25" customHeight="1">
      <c r="B172" s="3" t="s">
        <v>180</v>
      </c>
      <c r="C172" s="4">
        <v>220.0</v>
      </c>
      <c r="D172" s="5">
        <v>142.0</v>
      </c>
      <c r="E172" s="5">
        <v>1.0</v>
      </c>
      <c r="F172" s="6">
        <f t="shared" si="1"/>
        <v>0.007042253521</v>
      </c>
      <c r="G172" s="4">
        <f t="shared" si="2"/>
        <v>220</v>
      </c>
      <c r="H172" s="4">
        <f t="shared" si="3"/>
        <v>0</v>
      </c>
      <c r="I172" s="5">
        <v>0.0</v>
      </c>
      <c r="J172" s="5">
        <v>0.0</v>
      </c>
      <c r="K172" s="6">
        <f t="shared" si="4"/>
        <v>0</v>
      </c>
    </row>
    <row r="173" ht="17.25" customHeight="1">
      <c r="B173" s="3" t="s">
        <v>181</v>
      </c>
      <c r="C173" s="4">
        <v>385.0</v>
      </c>
      <c r="D173" s="5">
        <v>16.0</v>
      </c>
      <c r="E173" s="5">
        <v>1.0</v>
      </c>
      <c r="F173" s="6">
        <f t="shared" si="1"/>
        <v>0.0625</v>
      </c>
      <c r="G173" s="4">
        <f t="shared" si="2"/>
        <v>385</v>
      </c>
      <c r="H173" s="4">
        <f t="shared" si="3"/>
        <v>0</v>
      </c>
      <c r="I173" s="5">
        <v>0.0</v>
      </c>
      <c r="J173" s="5">
        <v>0.0</v>
      </c>
      <c r="K173" s="6">
        <f t="shared" si="4"/>
        <v>0</v>
      </c>
    </row>
    <row r="174" ht="17.25" customHeight="1">
      <c r="B174" s="3" t="s">
        <v>182</v>
      </c>
      <c r="C174" s="4">
        <v>2255.0</v>
      </c>
      <c r="D174" s="5">
        <v>39.0</v>
      </c>
      <c r="E174" s="5">
        <v>11.0</v>
      </c>
      <c r="F174" s="6">
        <f t="shared" si="1"/>
        <v>0.2820512821</v>
      </c>
      <c r="G174" s="4">
        <f t="shared" si="2"/>
        <v>205</v>
      </c>
      <c r="H174" s="4">
        <f t="shared" si="3"/>
        <v>1127.5</v>
      </c>
      <c r="I174" s="5">
        <v>2.0</v>
      </c>
      <c r="J174" s="5">
        <v>0.0</v>
      </c>
      <c r="K174" s="6">
        <f t="shared" si="4"/>
        <v>0</v>
      </c>
    </row>
    <row r="175" ht="17.25" customHeight="1">
      <c r="B175" s="3" t="s">
        <v>183</v>
      </c>
      <c r="C175" s="4">
        <v>5775.0</v>
      </c>
      <c r="D175" s="5">
        <v>27.0</v>
      </c>
      <c r="E175" s="5">
        <v>3.0</v>
      </c>
      <c r="F175" s="6">
        <f t="shared" si="1"/>
        <v>0.1111111111</v>
      </c>
      <c r="G175" s="4">
        <f t="shared" si="2"/>
        <v>1925</v>
      </c>
      <c r="H175" s="4">
        <f t="shared" si="3"/>
        <v>2887.5</v>
      </c>
      <c r="I175" s="5">
        <v>2.0</v>
      </c>
      <c r="J175" s="5">
        <v>0.0</v>
      </c>
      <c r="K175" s="6">
        <f t="shared" si="4"/>
        <v>0</v>
      </c>
    </row>
    <row r="176" ht="17.25" customHeight="1">
      <c r="B176" s="3" t="s">
        <v>184</v>
      </c>
      <c r="C176" s="4">
        <v>11055.0</v>
      </c>
      <c r="D176" s="5">
        <v>798.0</v>
      </c>
      <c r="E176" s="5">
        <v>16.0</v>
      </c>
      <c r="F176" s="6">
        <f t="shared" si="1"/>
        <v>0.02005012531</v>
      </c>
      <c r="G176" s="4">
        <f t="shared" si="2"/>
        <v>690.9375</v>
      </c>
      <c r="H176" s="4">
        <f t="shared" si="3"/>
        <v>0</v>
      </c>
      <c r="I176" s="5">
        <v>0.0</v>
      </c>
      <c r="J176" s="5">
        <v>0.0</v>
      </c>
      <c r="K176" s="6">
        <f t="shared" si="4"/>
        <v>0</v>
      </c>
    </row>
    <row r="177" ht="17.25" customHeight="1">
      <c r="B177" s="3" t="s">
        <v>185</v>
      </c>
      <c r="C177" s="4">
        <v>15939.0</v>
      </c>
      <c r="D177" s="5">
        <v>2954.0</v>
      </c>
      <c r="E177" s="5">
        <v>16.0</v>
      </c>
      <c r="F177" s="6">
        <f t="shared" si="1"/>
        <v>0.005416384563</v>
      </c>
      <c r="G177" s="4">
        <f t="shared" si="2"/>
        <v>996.1875</v>
      </c>
      <c r="H177" s="4">
        <f t="shared" si="3"/>
        <v>15939</v>
      </c>
      <c r="I177" s="5">
        <v>1.0</v>
      </c>
      <c r="J177" s="5">
        <v>0.0</v>
      </c>
      <c r="K177" s="6">
        <f t="shared" si="4"/>
        <v>0</v>
      </c>
    </row>
    <row r="178" ht="17.25" customHeight="1">
      <c r="B178" s="3" t="s">
        <v>186</v>
      </c>
      <c r="C178" s="4">
        <v>11737.0</v>
      </c>
      <c r="D178" s="5">
        <v>131.0</v>
      </c>
      <c r="E178" s="5">
        <v>8.0</v>
      </c>
      <c r="F178" s="6">
        <f t="shared" si="1"/>
        <v>0.06106870229</v>
      </c>
      <c r="G178" s="4">
        <f t="shared" si="2"/>
        <v>1467.125</v>
      </c>
      <c r="H178" s="4">
        <f t="shared" si="3"/>
        <v>0</v>
      </c>
      <c r="I178" s="5">
        <v>0.0</v>
      </c>
      <c r="J178" s="5">
        <v>0.0</v>
      </c>
      <c r="K178" s="6">
        <f t="shared" si="4"/>
        <v>0</v>
      </c>
    </row>
    <row r="179" ht="17.25" customHeight="1">
      <c r="B179" s="3" t="s">
        <v>187</v>
      </c>
      <c r="C179" s="4">
        <v>902.0</v>
      </c>
      <c r="D179" s="5">
        <v>4.0</v>
      </c>
      <c r="E179" s="5">
        <v>1.0</v>
      </c>
      <c r="F179" s="6">
        <f t="shared" si="1"/>
        <v>0.25</v>
      </c>
      <c r="G179" s="4">
        <f t="shared" si="2"/>
        <v>902</v>
      </c>
      <c r="H179" s="4">
        <f t="shared" si="3"/>
        <v>0</v>
      </c>
      <c r="I179" s="5">
        <v>0.0</v>
      </c>
      <c r="J179" s="5">
        <v>0.0</v>
      </c>
      <c r="K179" s="6">
        <f t="shared" si="4"/>
        <v>0</v>
      </c>
    </row>
    <row r="180" ht="17.25" customHeight="1">
      <c r="B180" s="3" t="s">
        <v>188</v>
      </c>
      <c r="C180" s="4">
        <v>20471.0</v>
      </c>
      <c r="D180" s="5">
        <v>6193.0</v>
      </c>
      <c r="E180" s="5">
        <v>25.0</v>
      </c>
      <c r="F180" s="6">
        <f t="shared" si="1"/>
        <v>0.00403681576</v>
      </c>
      <c r="G180" s="4">
        <f t="shared" si="2"/>
        <v>818.84</v>
      </c>
      <c r="H180" s="4">
        <f t="shared" si="3"/>
        <v>0</v>
      </c>
      <c r="I180" s="5">
        <v>0.0</v>
      </c>
      <c r="J180" s="5">
        <v>0.0</v>
      </c>
      <c r="K180" s="6">
        <f t="shared" si="4"/>
        <v>0</v>
      </c>
    </row>
    <row r="181" ht="17.25" customHeight="1">
      <c r="B181" s="3" t="s">
        <v>189</v>
      </c>
      <c r="C181" s="4">
        <v>14157.0</v>
      </c>
      <c r="D181" s="5">
        <v>940.0</v>
      </c>
      <c r="E181" s="5">
        <v>15.0</v>
      </c>
      <c r="F181" s="6">
        <f t="shared" si="1"/>
        <v>0.01595744681</v>
      </c>
      <c r="G181" s="4">
        <f t="shared" si="2"/>
        <v>943.8</v>
      </c>
      <c r="H181" s="4">
        <f t="shared" si="3"/>
        <v>0</v>
      </c>
      <c r="I181" s="5">
        <v>0.0</v>
      </c>
      <c r="J181" s="5">
        <v>0.0</v>
      </c>
      <c r="K181" s="6">
        <f t="shared" si="4"/>
        <v>0</v>
      </c>
    </row>
    <row r="182" ht="17.25" customHeight="1">
      <c r="B182" s="3" t="s">
        <v>190</v>
      </c>
      <c r="C182" s="4">
        <v>495.0</v>
      </c>
      <c r="D182" s="5">
        <v>1.0</v>
      </c>
      <c r="E182" s="5">
        <v>1.0</v>
      </c>
      <c r="F182" s="6">
        <f t="shared" si="1"/>
        <v>1</v>
      </c>
      <c r="G182" s="4">
        <f t="shared" si="2"/>
        <v>495</v>
      </c>
      <c r="H182" s="4">
        <f t="shared" si="3"/>
        <v>0</v>
      </c>
      <c r="I182" s="5">
        <v>0.0</v>
      </c>
      <c r="J182" s="5">
        <v>0.0</v>
      </c>
      <c r="K182" s="6">
        <f t="shared" si="4"/>
        <v>0</v>
      </c>
    </row>
    <row r="183" ht="17.25" customHeight="1">
      <c r="B183" s="3" t="s">
        <v>191</v>
      </c>
      <c r="C183" s="4">
        <v>13453.0</v>
      </c>
      <c r="D183" s="5">
        <v>4486.0</v>
      </c>
      <c r="E183" s="5">
        <v>7.0</v>
      </c>
      <c r="F183" s="6">
        <f t="shared" si="1"/>
        <v>0.001560410165</v>
      </c>
      <c r="G183" s="4">
        <f t="shared" si="2"/>
        <v>1921.857143</v>
      </c>
      <c r="H183" s="4">
        <f t="shared" si="3"/>
        <v>0</v>
      </c>
      <c r="I183" s="5">
        <v>0.0</v>
      </c>
      <c r="J183" s="5">
        <v>0.0</v>
      </c>
      <c r="K183" s="6">
        <f t="shared" si="4"/>
        <v>0</v>
      </c>
    </row>
    <row r="184" ht="17.25" customHeight="1">
      <c r="B184" s="3" t="s">
        <v>192</v>
      </c>
      <c r="C184" s="4">
        <v>22407.0</v>
      </c>
      <c r="D184" s="5">
        <v>1085.0</v>
      </c>
      <c r="E184" s="5">
        <v>33.0</v>
      </c>
      <c r="F184" s="6">
        <f t="shared" si="1"/>
        <v>0.03041474654</v>
      </c>
      <c r="G184" s="4">
        <f t="shared" si="2"/>
        <v>679</v>
      </c>
      <c r="H184" s="4">
        <f t="shared" si="3"/>
        <v>0</v>
      </c>
      <c r="I184" s="5">
        <v>0.0</v>
      </c>
      <c r="J184" s="5">
        <v>0.0</v>
      </c>
      <c r="K184" s="6">
        <f t="shared" si="4"/>
        <v>0</v>
      </c>
    </row>
    <row r="185" ht="17.25" customHeight="1">
      <c r="B185" s="3" t="s">
        <v>193</v>
      </c>
      <c r="C185" s="4">
        <v>341.0</v>
      </c>
      <c r="D185" s="5">
        <v>5.0</v>
      </c>
      <c r="E185" s="5">
        <v>1.0</v>
      </c>
      <c r="F185" s="6">
        <f t="shared" si="1"/>
        <v>0.2</v>
      </c>
      <c r="G185" s="4">
        <f t="shared" si="2"/>
        <v>341</v>
      </c>
      <c r="H185" s="4">
        <f t="shared" si="3"/>
        <v>0</v>
      </c>
      <c r="I185" s="5">
        <v>0.0</v>
      </c>
      <c r="J185" s="5">
        <v>0.0</v>
      </c>
      <c r="K185" s="6">
        <f t="shared" si="4"/>
        <v>0</v>
      </c>
    </row>
    <row r="186" ht="17.25" customHeight="1">
      <c r="B186" s="3" t="s">
        <v>194</v>
      </c>
      <c r="C186" s="4">
        <v>1232.0</v>
      </c>
      <c r="D186" s="5">
        <v>148.0</v>
      </c>
      <c r="E186" s="5">
        <v>2.0</v>
      </c>
      <c r="F186" s="6">
        <f t="shared" si="1"/>
        <v>0.01351351351</v>
      </c>
      <c r="G186" s="4">
        <f t="shared" si="2"/>
        <v>616</v>
      </c>
      <c r="H186" s="4">
        <f t="shared" si="3"/>
        <v>0</v>
      </c>
      <c r="I186" s="5">
        <v>0.0</v>
      </c>
      <c r="J186" s="5">
        <v>0.0</v>
      </c>
      <c r="K186" s="6">
        <f t="shared" si="4"/>
        <v>0</v>
      </c>
    </row>
    <row r="187" ht="17.25" customHeight="1">
      <c r="B187" s="3" t="s">
        <v>195</v>
      </c>
      <c r="C187" s="4">
        <v>858.0</v>
      </c>
      <c r="D187" s="5">
        <v>75.0</v>
      </c>
      <c r="E187" s="5">
        <v>1.0</v>
      </c>
      <c r="F187" s="6">
        <f t="shared" si="1"/>
        <v>0.01333333333</v>
      </c>
      <c r="G187" s="4">
        <f t="shared" si="2"/>
        <v>858</v>
      </c>
      <c r="H187" s="4">
        <f t="shared" si="3"/>
        <v>0</v>
      </c>
      <c r="I187" s="5">
        <v>0.0</v>
      </c>
      <c r="J187" s="5">
        <v>0.0</v>
      </c>
      <c r="K187" s="6">
        <f t="shared" si="4"/>
        <v>0</v>
      </c>
    </row>
    <row r="188" ht="17.25" customHeight="1">
      <c r="B188" s="3" t="s">
        <v>196</v>
      </c>
      <c r="C188" s="4">
        <v>10175.0</v>
      </c>
      <c r="D188" s="5">
        <v>1381.0</v>
      </c>
      <c r="E188" s="5">
        <v>16.0</v>
      </c>
      <c r="F188" s="6">
        <f t="shared" si="1"/>
        <v>0.01158580739</v>
      </c>
      <c r="G188" s="4">
        <f t="shared" si="2"/>
        <v>635.9375</v>
      </c>
      <c r="H188" s="4">
        <f t="shared" si="3"/>
        <v>0</v>
      </c>
      <c r="I188" s="5">
        <v>0.0</v>
      </c>
      <c r="J188" s="5">
        <v>0.0</v>
      </c>
      <c r="K188" s="6">
        <f t="shared" si="4"/>
        <v>0</v>
      </c>
    </row>
    <row r="189" ht="17.25" customHeight="1">
      <c r="B189" s="3" t="s">
        <v>197</v>
      </c>
      <c r="C189" s="4">
        <v>3784.0</v>
      </c>
      <c r="D189" s="5">
        <v>208.0</v>
      </c>
      <c r="E189" s="5">
        <v>4.0</v>
      </c>
      <c r="F189" s="6">
        <f t="shared" si="1"/>
        <v>0.01923076923</v>
      </c>
      <c r="G189" s="4">
        <f t="shared" si="2"/>
        <v>946</v>
      </c>
      <c r="H189" s="4">
        <f t="shared" si="3"/>
        <v>0</v>
      </c>
      <c r="I189" s="5">
        <v>0.0</v>
      </c>
      <c r="J189" s="5">
        <v>0.0</v>
      </c>
      <c r="K189" s="6">
        <f t="shared" si="4"/>
        <v>0</v>
      </c>
    </row>
    <row r="190" ht="17.25" customHeight="1">
      <c r="B190" s="3" t="s">
        <v>198</v>
      </c>
      <c r="C190" s="4">
        <v>1507.0</v>
      </c>
      <c r="D190" s="5">
        <v>114.0</v>
      </c>
      <c r="E190" s="5">
        <v>3.0</v>
      </c>
      <c r="F190" s="6">
        <f t="shared" si="1"/>
        <v>0.02631578947</v>
      </c>
      <c r="G190" s="4">
        <f t="shared" si="2"/>
        <v>502.3333333</v>
      </c>
      <c r="H190" s="4">
        <f t="shared" si="3"/>
        <v>0</v>
      </c>
      <c r="I190" s="5">
        <v>0.0</v>
      </c>
      <c r="J190" s="5">
        <v>0.0</v>
      </c>
      <c r="K190" s="6">
        <f t="shared" si="4"/>
        <v>0</v>
      </c>
    </row>
    <row r="191" ht="17.25" customHeight="1">
      <c r="B191" s="3" t="s">
        <v>199</v>
      </c>
      <c r="C191" s="4">
        <v>2475.0</v>
      </c>
      <c r="D191" s="5">
        <v>1480.0</v>
      </c>
      <c r="E191" s="5">
        <v>2.0</v>
      </c>
      <c r="F191" s="6">
        <f t="shared" si="1"/>
        <v>0.001351351351</v>
      </c>
      <c r="G191" s="4">
        <f t="shared" si="2"/>
        <v>1237.5</v>
      </c>
      <c r="H191" s="4">
        <f t="shared" si="3"/>
        <v>0</v>
      </c>
      <c r="I191" s="5">
        <v>0.0</v>
      </c>
      <c r="J191" s="5">
        <v>0.0</v>
      </c>
      <c r="K191" s="6">
        <f t="shared" si="4"/>
        <v>0</v>
      </c>
    </row>
    <row r="192" ht="17.25" customHeight="1">
      <c r="B192" s="3" t="s">
        <v>200</v>
      </c>
      <c r="C192" s="4">
        <v>52316.0</v>
      </c>
      <c r="D192" s="5">
        <v>873.0</v>
      </c>
      <c r="E192" s="5">
        <v>37.0</v>
      </c>
      <c r="F192" s="6">
        <f t="shared" si="1"/>
        <v>0.04238258877</v>
      </c>
      <c r="G192" s="4">
        <f t="shared" si="2"/>
        <v>1413.945946</v>
      </c>
      <c r="H192" s="4">
        <f t="shared" si="3"/>
        <v>7473.714286</v>
      </c>
      <c r="I192" s="5">
        <v>7.0</v>
      </c>
      <c r="J192" s="5">
        <v>0.0</v>
      </c>
      <c r="K192" s="6">
        <f t="shared" si="4"/>
        <v>0</v>
      </c>
    </row>
    <row r="193" ht="17.25" customHeight="1">
      <c r="B193" s="3" t="s">
        <v>201</v>
      </c>
      <c r="C193" s="4">
        <v>946.0</v>
      </c>
      <c r="D193" s="5">
        <v>4.0</v>
      </c>
      <c r="E193" s="5">
        <v>1.0</v>
      </c>
      <c r="F193" s="6">
        <f t="shared" si="1"/>
        <v>0.25</v>
      </c>
      <c r="G193" s="4">
        <f t="shared" si="2"/>
        <v>946</v>
      </c>
      <c r="H193" s="4">
        <f t="shared" si="3"/>
        <v>0</v>
      </c>
      <c r="I193" s="5">
        <v>0.0</v>
      </c>
      <c r="J193" s="5">
        <v>0.0</v>
      </c>
      <c r="K193" s="6">
        <f t="shared" si="4"/>
        <v>0</v>
      </c>
    </row>
    <row r="194" ht="17.25" customHeight="1">
      <c r="B194" s="3" t="s">
        <v>202</v>
      </c>
      <c r="C194" s="4">
        <v>165.0</v>
      </c>
      <c r="D194" s="5">
        <v>2.0</v>
      </c>
      <c r="E194" s="5">
        <v>1.0</v>
      </c>
      <c r="F194" s="6">
        <f t="shared" si="1"/>
        <v>0.5</v>
      </c>
      <c r="G194" s="4">
        <f t="shared" si="2"/>
        <v>165</v>
      </c>
      <c r="H194" s="4">
        <f t="shared" si="3"/>
        <v>0</v>
      </c>
      <c r="I194" s="5">
        <v>0.0</v>
      </c>
      <c r="J194" s="5">
        <v>0.0</v>
      </c>
      <c r="K194" s="6">
        <f t="shared" si="4"/>
        <v>0</v>
      </c>
    </row>
    <row r="195" ht="17.25" customHeight="1">
      <c r="B195" s="3" t="s">
        <v>203</v>
      </c>
      <c r="C195" s="4">
        <v>220.0</v>
      </c>
      <c r="D195" s="5">
        <v>2.0</v>
      </c>
      <c r="E195" s="5">
        <v>1.0</v>
      </c>
      <c r="F195" s="6">
        <f t="shared" si="1"/>
        <v>0.5</v>
      </c>
      <c r="G195" s="4">
        <f t="shared" si="2"/>
        <v>220</v>
      </c>
      <c r="H195" s="4">
        <f t="shared" si="3"/>
        <v>0</v>
      </c>
      <c r="I195" s="5">
        <v>0.0</v>
      </c>
      <c r="J195" s="5">
        <v>0.0</v>
      </c>
      <c r="K195" s="6">
        <f t="shared" si="4"/>
        <v>0</v>
      </c>
    </row>
    <row r="196" ht="17.25" customHeight="1">
      <c r="B196" s="3" t="s">
        <v>204</v>
      </c>
      <c r="C196" s="4">
        <v>451.0</v>
      </c>
      <c r="D196" s="5">
        <v>22.0</v>
      </c>
      <c r="E196" s="5">
        <v>1.0</v>
      </c>
      <c r="F196" s="6">
        <f t="shared" si="1"/>
        <v>0.04545454545</v>
      </c>
      <c r="G196" s="4">
        <f t="shared" si="2"/>
        <v>451</v>
      </c>
      <c r="H196" s="4">
        <f t="shared" si="3"/>
        <v>0</v>
      </c>
      <c r="I196" s="5">
        <v>0.0</v>
      </c>
      <c r="J196" s="5">
        <v>0.0</v>
      </c>
      <c r="K196" s="6">
        <f t="shared" si="4"/>
        <v>0</v>
      </c>
    </row>
    <row r="197" ht="17.25" customHeight="1">
      <c r="B197" s="3" t="s">
        <v>205</v>
      </c>
      <c r="C197" s="4">
        <v>1219999.0</v>
      </c>
      <c r="D197" s="5">
        <v>61430.0</v>
      </c>
      <c r="E197" s="5">
        <v>728.0</v>
      </c>
      <c r="F197" s="6">
        <f t="shared" si="1"/>
        <v>0.01185088719</v>
      </c>
      <c r="G197" s="4">
        <f t="shared" si="2"/>
        <v>1675.822802</v>
      </c>
      <c r="H197" s="4">
        <f t="shared" si="3"/>
        <v>36969.66667</v>
      </c>
      <c r="I197" s="5">
        <v>33.0</v>
      </c>
      <c r="J197" s="5">
        <v>2723000.0</v>
      </c>
      <c r="K197" s="6">
        <f t="shared" si="4"/>
        <v>2.231969043</v>
      </c>
    </row>
    <row r="198" ht="17.25" customHeight="1">
      <c r="B198" s="3" t="s">
        <v>206</v>
      </c>
      <c r="C198" s="4">
        <v>136642.0</v>
      </c>
      <c r="D198" s="5">
        <v>3251.0</v>
      </c>
      <c r="E198" s="5">
        <v>135.0</v>
      </c>
      <c r="F198" s="6">
        <f t="shared" si="1"/>
        <v>0.0415256844</v>
      </c>
      <c r="G198" s="4">
        <f t="shared" si="2"/>
        <v>1012.162963</v>
      </c>
      <c r="H198" s="4">
        <f t="shared" si="3"/>
        <v>136642</v>
      </c>
      <c r="I198" s="5">
        <v>1.0</v>
      </c>
      <c r="J198" s="5">
        <v>0.0</v>
      </c>
      <c r="K198" s="6">
        <f t="shared" si="4"/>
        <v>0</v>
      </c>
    </row>
    <row r="199" ht="17.25" customHeight="1">
      <c r="B199" s="3" t="s">
        <v>207</v>
      </c>
      <c r="C199" s="4">
        <v>605.0</v>
      </c>
      <c r="D199" s="5">
        <v>6.0</v>
      </c>
      <c r="E199" s="5">
        <v>2.0</v>
      </c>
      <c r="F199" s="6">
        <f t="shared" si="1"/>
        <v>0.3333333333</v>
      </c>
      <c r="G199" s="4">
        <f t="shared" si="2"/>
        <v>302.5</v>
      </c>
      <c r="H199" s="4">
        <f t="shared" si="3"/>
        <v>0</v>
      </c>
      <c r="I199" s="5">
        <v>0.0</v>
      </c>
      <c r="J199" s="5">
        <v>0.0</v>
      </c>
      <c r="K199" s="6">
        <f t="shared" si="4"/>
        <v>0</v>
      </c>
    </row>
    <row r="200" ht="17.25" customHeight="1">
      <c r="B200" s="3" t="s">
        <v>208</v>
      </c>
      <c r="C200" s="4">
        <v>1606.0</v>
      </c>
      <c r="D200" s="5">
        <v>10.0</v>
      </c>
      <c r="E200" s="5">
        <v>2.0</v>
      </c>
      <c r="F200" s="6">
        <f t="shared" si="1"/>
        <v>0.2</v>
      </c>
      <c r="G200" s="4">
        <f t="shared" si="2"/>
        <v>803</v>
      </c>
      <c r="H200" s="4">
        <f t="shared" si="3"/>
        <v>146</v>
      </c>
      <c r="I200" s="5">
        <v>11.0</v>
      </c>
      <c r="J200" s="5">
        <v>0.0</v>
      </c>
      <c r="K200" s="6">
        <f t="shared" si="4"/>
        <v>0</v>
      </c>
    </row>
    <row r="201" ht="17.25" customHeight="1">
      <c r="B201" s="3" t="s">
        <v>209</v>
      </c>
      <c r="C201" s="4">
        <v>3619.0</v>
      </c>
      <c r="D201" s="5">
        <v>3646.0</v>
      </c>
      <c r="E201" s="5">
        <v>6.0</v>
      </c>
      <c r="F201" s="6">
        <f t="shared" si="1"/>
        <v>0.001645639057</v>
      </c>
      <c r="G201" s="4">
        <f t="shared" si="2"/>
        <v>603.1666667</v>
      </c>
      <c r="H201" s="4">
        <f t="shared" si="3"/>
        <v>0</v>
      </c>
      <c r="I201" s="5">
        <v>0.0</v>
      </c>
      <c r="J201" s="5">
        <v>0.0</v>
      </c>
      <c r="K201" s="6">
        <f t="shared" si="4"/>
        <v>0</v>
      </c>
    </row>
    <row r="202" ht="17.25" customHeight="1">
      <c r="B202" s="3" t="s">
        <v>210</v>
      </c>
      <c r="C202" s="4">
        <v>792.0</v>
      </c>
      <c r="D202" s="5">
        <v>7.0</v>
      </c>
      <c r="E202" s="5">
        <v>1.0</v>
      </c>
      <c r="F202" s="6">
        <f t="shared" si="1"/>
        <v>0.1428571429</v>
      </c>
      <c r="G202" s="4">
        <f t="shared" si="2"/>
        <v>792</v>
      </c>
      <c r="H202" s="4">
        <f t="shared" si="3"/>
        <v>0</v>
      </c>
      <c r="I202" s="5">
        <v>0.0</v>
      </c>
      <c r="J202" s="5">
        <v>0.0</v>
      </c>
      <c r="K202" s="6">
        <f t="shared" si="4"/>
        <v>0</v>
      </c>
    </row>
    <row r="203" ht="17.25" customHeight="1">
      <c r="B203" s="3" t="s">
        <v>211</v>
      </c>
      <c r="C203" s="4">
        <v>13970.0</v>
      </c>
      <c r="D203" s="5">
        <v>27181.0</v>
      </c>
      <c r="E203" s="5">
        <v>27.0</v>
      </c>
      <c r="F203" s="6">
        <f t="shared" si="1"/>
        <v>0.0009933409367</v>
      </c>
      <c r="G203" s="4">
        <f t="shared" si="2"/>
        <v>517.4074074</v>
      </c>
      <c r="H203" s="4">
        <f t="shared" si="3"/>
        <v>0</v>
      </c>
      <c r="I203" s="5">
        <v>0.0</v>
      </c>
      <c r="J203" s="5">
        <v>0.0</v>
      </c>
      <c r="K203" s="6">
        <f t="shared" si="4"/>
        <v>0</v>
      </c>
    </row>
    <row r="204" ht="17.25" customHeight="1">
      <c r="B204" s="3" t="s">
        <v>212</v>
      </c>
      <c r="C204" s="4">
        <v>13068.0</v>
      </c>
      <c r="D204" s="5">
        <v>9.0</v>
      </c>
      <c r="E204" s="5">
        <v>4.0</v>
      </c>
      <c r="F204" s="6">
        <f t="shared" si="1"/>
        <v>0.4444444444</v>
      </c>
      <c r="G204" s="4">
        <f t="shared" si="2"/>
        <v>3267</v>
      </c>
      <c r="H204" s="4">
        <f t="shared" si="3"/>
        <v>0</v>
      </c>
      <c r="I204" s="5">
        <v>0.0</v>
      </c>
      <c r="J204" s="5">
        <v>0.0</v>
      </c>
      <c r="K204" s="6">
        <f t="shared" si="4"/>
        <v>0</v>
      </c>
    </row>
    <row r="205" ht="17.25" customHeight="1">
      <c r="B205" s="3" t="s">
        <v>213</v>
      </c>
      <c r="C205" s="4">
        <v>18183.0</v>
      </c>
      <c r="D205" s="5">
        <v>158.0</v>
      </c>
      <c r="E205" s="5">
        <v>14.0</v>
      </c>
      <c r="F205" s="6">
        <f t="shared" si="1"/>
        <v>0.08860759494</v>
      </c>
      <c r="G205" s="4">
        <f t="shared" si="2"/>
        <v>1298.785714</v>
      </c>
      <c r="H205" s="4">
        <f t="shared" si="3"/>
        <v>18183</v>
      </c>
      <c r="I205" s="5">
        <v>1.0</v>
      </c>
      <c r="J205" s="5">
        <v>0.0</v>
      </c>
      <c r="K205" s="6">
        <f t="shared" si="4"/>
        <v>0</v>
      </c>
    </row>
    <row r="206" ht="17.25" customHeight="1">
      <c r="B206" s="3" t="s">
        <v>214</v>
      </c>
      <c r="C206" s="4">
        <v>693.0</v>
      </c>
      <c r="D206" s="5">
        <v>2.0</v>
      </c>
      <c r="E206" s="5">
        <v>1.0</v>
      </c>
      <c r="F206" s="6">
        <f t="shared" si="1"/>
        <v>0.5</v>
      </c>
      <c r="G206" s="4">
        <f t="shared" si="2"/>
        <v>693</v>
      </c>
      <c r="H206" s="4">
        <f t="shared" si="3"/>
        <v>0</v>
      </c>
      <c r="I206" s="5">
        <v>0.0</v>
      </c>
      <c r="J206" s="5">
        <v>0.0</v>
      </c>
      <c r="K206" s="6">
        <f t="shared" si="4"/>
        <v>0</v>
      </c>
    </row>
    <row r="207" ht="17.25" customHeight="1">
      <c r="B207" s="3" t="s">
        <v>215</v>
      </c>
      <c r="C207" s="4">
        <v>3729.0</v>
      </c>
      <c r="D207" s="5">
        <v>28.0</v>
      </c>
      <c r="E207" s="5">
        <v>3.0</v>
      </c>
      <c r="F207" s="6">
        <f t="shared" si="1"/>
        <v>0.1071428571</v>
      </c>
      <c r="G207" s="4">
        <f t="shared" si="2"/>
        <v>1243</v>
      </c>
      <c r="H207" s="4">
        <f t="shared" si="3"/>
        <v>0</v>
      </c>
      <c r="I207" s="5">
        <v>0.0</v>
      </c>
      <c r="J207" s="5">
        <v>0.0</v>
      </c>
      <c r="K207" s="6">
        <f t="shared" si="4"/>
        <v>0</v>
      </c>
    </row>
    <row r="208" ht="17.25" customHeight="1">
      <c r="B208" s="3" t="s">
        <v>216</v>
      </c>
      <c r="C208" s="4">
        <v>506.0</v>
      </c>
      <c r="D208" s="5">
        <v>17.0</v>
      </c>
      <c r="E208" s="5">
        <v>1.0</v>
      </c>
      <c r="F208" s="6">
        <f t="shared" si="1"/>
        <v>0.05882352941</v>
      </c>
      <c r="G208" s="4">
        <f t="shared" si="2"/>
        <v>506</v>
      </c>
      <c r="H208" s="4">
        <f t="shared" si="3"/>
        <v>0</v>
      </c>
      <c r="I208" s="5">
        <v>0.0</v>
      </c>
      <c r="J208" s="5">
        <v>0.0</v>
      </c>
      <c r="K208" s="6">
        <f t="shared" si="4"/>
        <v>0</v>
      </c>
    </row>
    <row r="209" ht="17.25" customHeight="1">
      <c r="B209" s="3" t="s">
        <v>217</v>
      </c>
      <c r="C209" s="4">
        <v>31141.0</v>
      </c>
      <c r="D209" s="5">
        <v>822.0</v>
      </c>
      <c r="E209" s="5">
        <v>32.0</v>
      </c>
      <c r="F209" s="6">
        <f t="shared" si="1"/>
        <v>0.03892944039</v>
      </c>
      <c r="G209" s="4">
        <f t="shared" si="2"/>
        <v>973.15625</v>
      </c>
      <c r="H209" s="4">
        <f t="shared" si="3"/>
        <v>0</v>
      </c>
      <c r="I209" s="5">
        <v>0.0</v>
      </c>
      <c r="J209" s="5">
        <v>0.0</v>
      </c>
      <c r="K209" s="6">
        <f t="shared" si="4"/>
        <v>0</v>
      </c>
    </row>
    <row r="210" ht="17.25" customHeight="1">
      <c r="B210" s="3" t="s">
        <v>218</v>
      </c>
      <c r="C210" s="4">
        <v>957.0</v>
      </c>
      <c r="D210" s="5">
        <v>6.0</v>
      </c>
      <c r="E210" s="5">
        <v>1.0</v>
      </c>
      <c r="F210" s="6">
        <f t="shared" si="1"/>
        <v>0.1666666667</v>
      </c>
      <c r="G210" s="4">
        <f t="shared" si="2"/>
        <v>957</v>
      </c>
      <c r="H210" s="4">
        <f t="shared" si="3"/>
        <v>0</v>
      </c>
      <c r="I210" s="5">
        <v>0.0</v>
      </c>
      <c r="J210" s="5">
        <v>0.0</v>
      </c>
      <c r="K210" s="6">
        <f t="shared" si="4"/>
        <v>0</v>
      </c>
    </row>
    <row r="211" ht="17.25" customHeight="1">
      <c r="B211" s="3" t="s">
        <v>219</v>
      </c>
      <c r="C211" s="4">
        <v>58014.0</v>
      </c>
      <c r="D211" s="5">
        <v>1741.0</v>
      </c>
      <c r="E211" s="5">
        <v>56.0</v>
      </c>
      <c r="F211" s="6">
        <f t="shared" si="1"/>
        <v>0.03216542217</v>
      </c>
      <c r="G211" s="4">
        <f t="shared" si="2"/>
        <v>1035.964286</v>
      </c>
      <c r="H211" s="4">
        <f t="shared" si="3"/>
        <v>9669</v>
      </c>
      <c r="I211" s="5">
        <v>6.0</v>
      </c>
      <c r="J211" s="5">
        <v>130305.0</v>
      </c>
      <c r="K211" s="6">
        <f t="shared" si="4"/>
        <v>2.24609577</v>
      </c>
    </row>
    <row r="212" ht="17.25" customHeight="1">
      <c r="B212" s="3" t="s">
        <v>220</v>
      </c>
      <c r="C212" s="4">
        <v>22814.0</v>
      </c>
      <c r="D212" s="5">
        <v>139.0</v>
      </c>
      <c r="E212" s="5">
        <v>17.0</v>
      </c>
      <c r="F212" s="6">
        <f t="shared" si="1"/>
        <v>0.1223021583</v>
      </c>
      <c r="G212" s="4">
        <f t="shared" si="2"/>
        <v>1342</v>
      </c>
      <c r="H212" s="4">
        <f t="shared" si="3"/>
        <v>0</v>
      </c>
      <c r="I212" s="5">
        <v>0.0</v>
      </c>
      <c r="J212" s="5">
        <v>0.0</v>
      </c>
      <c r="K212" s="6">
        <f t="shared" si="4"/>
        <v>0</v>
      </c>
    </row>
    <row r="213" ht="17.25" customHeight="1">
      <c r="B213" s="3" t="s">
        <v>221</v>
      </c>
      <c r="C213" s="4">
        <v>3663.0</v>
      </c>
      <c r="D213" s="5">
        <v>19.0</v>
      </c>
      <c r="E213" s="5">
        <v>5.0</v>
      </c>
      <c r="F213" s="6">
        <f t="shared" si="1"/>
        <v>0.2631578947</v>
      </c>
      <c r="G213" s="4">
        <f t="shared" si="2"/>
        <v>732.6</v>
      </c>
      <c r="H213" s="4">
        <f t="shared" si="3"/>
        <v>0</v>
      </c>
      <c r="I213" s="5">
        <v>0.0</v>
      </c>
      <c r="J213" s="5">
        <v>0.0</v>
      </c>
      <c r="K213" s="6">
        <f t="shared" si="4"/>
        <v>0</v>
      </c>
    </row>
    <row r="214" ht="17.25" customHeight="1">
      <c r="B214" s="3" t="s">
        <v>222</v>
      </c>
      <c r="C214" s="4">
        <v>21164.0</v>
      </c>
      <c r="D214" s="5">
        <v>149.0</v>
      </c>
      <c r="E214" s="5">
        <v>8.0</v>
      </c>
      <c r="F214" s="6">
        <f t="shared" si="1"/>
        <v>0.05369127517</v>
      </c>
      <c r="G214" s="4">
        <f t="shared" si="2"/>
        <v>2645.5</v>
      </c>
      <c r="H214" s="4">
        <f t="shared" si="3"/>
        <v>0</v>
      </c>
      <c r="I214" s="5">
        <v>0.0</v>
      </c>
      <c r="J214" s="5">
        <v>0.0</v>
      </c>
      <c r="K214" s="6">
        <f t="shared" si="4"/>
        <v>0</v>
      </c>
    </row>
    <row r="215" ht="17.25" customHeight="1">
      <c r="B215" s="3" t="s">
        <v>223</v>
      </c>
      <c r="C215" s="4">
        <v>3113.0</v>
      </c>
      <c r="D215" s="5">
        <v>33.0</v>
      </c>
      <c r="E215" s="5">
        <v>4.0</v>
      </c>
      <c r="F215" s="6">
        <f t="shared" si="1"/>
        <v>0.1212121212</v>
      </c>
      <c r="G215" s="4">
        <f t="shared" si="2"/>
        <v>778.25</v>
      </c>
      <c r="H215" s="4">
        <f t="shared" si="3"/>
        <v>0</v>
      </c>
      <c r="I215" s="5">
        <v>0.0</v>
      </c>
      <c r="J215" s="5">
        <v>0.0</v>
      </c>
      <c r="K215" s="6">
        <f t="shared" si="4"/>
        <v>0</v>
      </c>
    </row>
    <row r="216" ht="17.25" customHeight="1">
      <c r="B216" s="3" t="s">
        <v>224</v>
      </c>
      <c r="C216" s="4">
        <v>682.0</v>
      </c>
      <c r="D216" s="5">
        <v>7.0</v>
      </c>
      <c r="E216" s="5">
        <v>1.0</v>
      </c>
      <c r="F216" s="6">
        <f t="shared" si="1"/>
        <v>0.1428571429</v>
      </c>
      <c r="G216" s="4">
        <f t="shared" si="2"/>
        <v>682</v>
      </c>
      <c r="H216" s="4">
        <f t="shared" si="3"/>
        <v>0</v>
      </c>
      <c r="I216" s="5">
        <v>0.0</v>
      </c>
      <c r="J216" s="5">
        <v>0.0</v>
      </c>
      <c r="K216" s="6">
        <f t="shared" si="4"/>
        <v>0</v>
      </c>
    </row>
    <row r="217" ht="17.25" customHeight="1">
      <c r="B217" s="3" t="s">
        <v>225</v>
      </c>
      <c r="C217" s="4">
        <v>5643.0</v>
      </c>
      <c r="D217" s="5">
        <v>151.0</v>
      </c>
      <c r="E217" s="5">
        <v>3.0</v>
      </c>
      <c r="F217" s="6">
        <f t="shared" si="1"/>
        <v>0.01986754967</v>
      </c>
      <c r="G217" s="4">
        <f t="shared" si="2"/>
        <v>1881</v>
      </c>
      <c r="H217" s="4">
        <f t="shared" si="3"/>
        <v>0</v>
      </c>
      <c r="I217" s="5">
        <v>0.0</v>
      </c>
      <c r="J217" s="5">
        <v>0.0</v>
      </c>
      <c r="K217" s="6">
        <f t="shared" si="4"/>
        <v>0</v>
      </c>
    </row>
    <row r="218" ht="17.25" customHeight="1">
      <c r="B218" s="3" t="s">
        <v>226</v>
      </c>
      <c r="C218" s="4">
        <v>5401.0</v>
      </c>
      <c r="D218" s="5">
        <v>214.0</v>
      </c>
      <c r="E218" s="5">
        <v>3.0</v>
      </c>
      <c r="F218" s="6">
        <f t="shared" si="1"/>
        <v>0.01401869159</v>
      </c>
      <c r="G218" s="4">
        <f t="shared" si="2"/>
        <v>1800.333333</v>
      </c>
      <c r="H218" s="4">
        <f t="shared" si="3"/>
        <v>0</v>
      </c>
      <c r="I218" s="5">
        <v>0.0</v>
      </c>
      <c r="J218" s="5">
        <v>0.0</v>
      </c>
      <c r="K218" s="6">
        <f t="shared" si="4"/>
        <v>0</v>
      </c>
    </row>
    <row r="219" ht="17.25" customHeight="1">
      <c r="B219" s="3" t="s">
        <v>227</v>
      </c>
      <c r="C219" s="4">
        <v>14641.0</v>
      </c>
      <c r="D219" s="5">
        <v>2318.0</v>
      </c>
      <c r="E219" s="5">
        <v>18.0</v>
      </c>
      <c r="F219" s="6">
        <f t="shared" si="1"/>
        <v>0.007765314927</v>
      </c>
      <c r="G219" s="4">
        <f t="shared" si="2"/>
        <v>813.3888889</v>
      </c>
      <c r="H219" s="4">
        <f t="shared" si="3"/>
        <v>0</v>
      </c>
      <c r="I219" s="5">
        <v>0.0</v>
      </c>
      <c r="J219" s="5">
        <v>0.0</v>
      </c>
      <c r="K219" s="6">
        <f t="shared" si="4"/>
        <v>0</v>
      </c>
    </row>
    <row r="220" ht="17.25" customHeight="1">
      <c r="B220" s="3" t="s">
        <v>228</v>
      </c>
      <c r="C220" s="4">
        <v>110.0</v>
      </c>
      <c r="D220" s="5">
        <v>5.0</v>
      </c>
      <c r="E220" s="5">
        <v>1.0</v>
      </c>
      <c r="F220" s="6">
        <f t="shared" si="1"/>
        <v>0.2</v>
      </c>
      <c r="G220" s="4">
        <f t="shared" si="2"/>
        <v>110</v>
      </c>
      <c r="H220" s="4">
        <f t="shared" si="3"/>
        <v>0</v>
      </c>
      <c r="I220" s="5">
        <v>0.0</v>
      </c>
      <c r="J220" s="5">
        <v>0.0</v>
      </c>
      <c r="K220" s="6">
        <f t="shared" si="4"/>
        <v>0</v>
      </c>
    </row>
    <row r="221" ht="17.25" customHeight="1">
      <c r="B221" s="3" t="s">
        <v>229</v>
      </c>
      <c r="C221" s="4">
        <v>572.0</v>
      </c>
      <c r="D221" s="5">
        <v>36.0</v>
      </c>
      <c r="E221" s="5">
        <v>1.0</v>
      </c>
      <c r="F221" s="6">
        <f t="shared" si="1"/>
        <v>0.02777777778</v>
      </c>
      <c r="G221" s="4">
        <f t="shared" si="2"/>
        <v>572</v>
      </c>
      <c r="H221" s="4">
        <f t="shared" si="3"/>
        <v>0</v>
      </c>
      <c r="I221" s="5">
        <v>0.0</v>
      </c>
      <c r="J221" s="5">
        <v>0.0</v>
      </c>
      <c r="K221" s="6">
        <f t="shared" si="4"/>
        <v>0</v>
      </c>
    </row>
    <row r="222" ht="17.25" customHeight="1">
      <c r="B222" s="3" t="s">
        <v>230</v>
      </c>
      <c r="C222" s="4">
        <v>9097.0</v>
      </c>
      <c r="D222" s="5">
        <v>1103.0</v>
      </c>
      <c r="E222" s="5">
        <v>4.0</v>
      </c>
      <c r="F222" s="6">
        <f t="shared" si="1"/>
        <v>0.003626473255</v>
      </c>
      <c r="G222" s="4">
        <f t="shared" si="2"/>
        <v>2274.25</v>
      </c>
      <c r="H222" s="4">
        <f t="shared" si="3"/>
        <v>0</v>
      </c>
      <c r="I222" s="5">
        <v>0.0</v>
      </c>
      <c r="J222" s="5">
        <v>0.0</v>
      </c>
      <c r="K222" s="6">
        <f t="shared" si="4"/>
        <v>0</v>
      </c>
    </row>
    <row r="223" ht="17.25" customHeight="1">
      <c r="B223" s="3" t="s">
        <v>231</v>
      </c>
      <c r="C223" s="4">
        <v>814.0</v>
      </c>
      <c r="D223" s="5">
        <v>11.0</v>
      </c>
      <c r="E223" s="5">
        <v>2.0</v>
      </c>
      <c r="F223" s="6">
        <f t="shared" si="1"/>
        <v>0.1818181818</v>
      </c>
      <c r="G223" s="4">
        <f t="shared" si="2"/>
        <v>407</v>
      </c>
      <c r="H223" s="4">
        <f t="shared" si="3"/>
        <v>0</v>
      </c>
      <c r="I223" s="5">
        <v>0.0</v>
      </c>
      <c r="J223" s="5">
        <v>0.0</v>
      </c>
      <c r="K223" s="6">
        <f t="shared" si="4"/>
        <v>0</v>
      </c>
    </row>
    <row r="224" ht="17.25" customHeight="1">
      <c r="B224" s="3" t="s">
        <v>232</v>
      </c>
      <c r="C224" s="4">
        <v>231.0</v>
      </c>
      <c r="D224" s="5">
        <v>32.0</v>
      </c>
      <c r="E224" s="5">
        <v>1.0</v>
      </c>
      <c r="F224" s="6">
        <f t="shared" si="1"/>
        <v>0.03125</v>
      </c>
      <c r="G224" s="4">
        <f t="shared" si="2"/>
        <v>231</v>
      </c>
      <c r="H224" s="4">
        <f t="shared" si="3"/>
        <v>0</v>
      </c>
      <c r="I224" s="5">
        <v>0.0</v>
      </c>
      <c r="J224" s="5">
        <v>0.0</v>
      </c>
      <c r="K224" s="6">
        <f t="shared" si="4"/>
        <v>0</v>
      </c>
    </row>
    <row r="225" ht="17.25" customHeight="1">
      <c r="B225" s="3" t="s">
        <v>233</v>
      </c>
      <c r="C225" s="4">
        <v>13574.0</v>
      </c>
      <c r="D225" s="5">
        <v>145.0</v>
      </c>
      <c r="E225" s="5">
        <v>13.0</v>
      </c>
      <c r="F225" s="6">
        <f t="shared" si="1"/>
        <v>0.08965517241</v>
      </c>
      <c r="G225" s="4">
        <f t="shared" si="2"/>
        <v>1044.153846</v>
      </c>
      <c r="H225" s="4">
        <f t="shared" si="3"/>
        <v>0</v>
      </c>
      <c r="I225" s="5">
        <v>0.0</v>
      </c>
      <c r="J225" s="5">
        <v>0.0</v>
      </c>
      <c r="K225" s="6">
        <f t="shared" si="4"/>
        <v>0</v>
      </c>
    </row>
    <row r="226" ht="17.25" customHeight="1">
      <c r="B226" s="3" t="s">
        <v>234</v>
      </c>
      <c r="C226" s="4">
        <v>63580.0</v>
      </c>
      <c r="D226" s="5">
        <v>8312.0</v>
      </c>
      <c r="E226" s="5">
        <v>90.0</v>
      </c>
      <c r="F226" s="6">
        <f t="shared" si="1"/>
        <v>0.01082771896</v>
      </c>
      <c r="G226" s="4">
        <f t="shared" si="2"/>
        <v>706.4444444</v>
      </c>
      <c r="H226" s="4">
        <f t="shared" si="3"/>
        <v>7947.5</v>
      </c>
      <c r="I226" s="5">
        <v>8.0</v>
      </c>
      <c r="J226" s="5">
        <v>505689.0</v>
      </c>
      <c r="K226" s="6">
        <f t="shared" si="4"/>
        <v>7.953586033</v>
      </c>
    </row>
    <row r="227" ht="17.25" customHeight="1">
      <c r="B227" s="3" t="s">
        <v>235</v>
      </c>
      <c r="C227" s="4">
        <v>2519.0</v>
      </c>
      <c r="D227" s="5">
        <v>66.0</v>
      </c>
      <c r="E227" s="5">
        <v>3.0</v>
      </c>
      <c r="F227" s="6">
        <f t="shared" si="1"/>
        <v>0.04545454545</v>
      </c>
      <c r="G227" s="4">
        <f t="shared" si="2"/>
        <v>839.6666667</v>
      </c>
      <c r="H227" s="4">
        <f t="shared" si="3"/>
        <v>0</v>
      </c>
      <c r="I227" s="5">
        <v>0.0</v>
      </c>
      <c r="J227" s="5">
        <v>0.0</v>
      </c>
      <c r="K227" s="6">
        <f t="shared" si="4"/>
        <v>0</v>
      </c>
    </row>
    <row r="228" ht="17.25" customHeight="1">
      <c r="B228" s="3" t="s">
        <v>236</v>
      </c>
      <c r="C228" s="4">
        <v>297.0</v>
      </c>
      <c r="D228" s="5">
        <v>5.0</v>
      </c>
      <c r="E228" s="5">
        <v>1.0</v>
      </c>
      <c r="F228" s="6">
        <f t="shared" si="1"/>
        <v>0.2</v>
      </c>
      <c r="G228" s="4">
        <f t="shared" si="2"/>
        <v>297</v>
      </c>
      <c r="H228" s="4">
        <f t="shared" si="3"/>
        <v>0</v>
      </c>
      <c r="I228" s="5">
        <v>0.0</v>
      </c>
      <c r="J228" s="5">
        <v>0.0</v>
      </c>
      <c r="K228" s="6">
        <f t="shared" si="4"/>
        <v>0</v>
      </c>
    </row>
    <row r="229" ht="17.25" customHeight="1">
      <c r="B229" s="3" t="s">
        <v>237</v>
      </c>
      <c r="C229" s="4">
        <v>7975.0</v>
      </c>
      <c r="D229" s="5">
        <v>86.0</v>
      </c>
      <c r="E229" s="5">
        <v>5.0</v>
      </c>
      <c r="F229" s="6">
        <f t="shared" si="1"/>
        <v>0.05813953488</v>
      </c>
      <c r="G229" s="4">
        <f t="shared" si="2"/>
        <v>1595</v>
      </c>
      <c r="H229" s="4">
        <f t="shared" si="3"/>
        <v>0</v>
      </c>
      <c r="I229" s="5">
        <v>0.0</v>
      </c>
      <c r="J229" s="5">
        <v>0.0</v>
      </c>
      <c r="K229" s="6">
        <f t="shared" si="4"/>
        <v>0</v>
      </c>
    </row>
    <row r="230" ht="17.25" customHeight="1">
      <c r="B230" s="3" t="s">
        <v>238</v>
      </c>
      <c r="C230" s="4">
        <v>105853.0</v>
      </c>
      <c r="D230" s="5">
        <v>1221.0</v>
      </c>
      <c r="E230" s="5">
        <v>32.0</v>
      </c>
      <c r="F230" s="6">
        <f t="shared" si="1"/>
        <v>0.02620802621</v>
      </c>
      <c r="G230" s="4">
        <f t="shared" si="2"/>
        <v>3307.90625</v>
      </c>
      <c r="H230" s="4">
        <f t="shared" si="3"/>
        <v>11761.44444</v>
      </c>
      <c r="I230" s="5">
        <v>9.0</v>
      </c>
      <c r="J230" s="5">
        <v>0.0</v>
      </c>
      <c r="K230" s="6">
        <f t="shared" si="4"/>
        <v>0</v>
      </c>
    </row>
    <row r="231" ht="17.25" customHeight="1">
      <c r="B231" s="3" t="s">
        <v>239</v>
      </c>
      <c r="C231" s="4">
        <v>1089.0</v>
      </c>
      <c r="D231" s="5">
        <v>133.0</v>
      </c>
      <c r="E231" s="5">
        <v>2.0</v>
      </c>
      <c r="F231" s="6">
        <f t="shared" si="1"/>
        <v>0.01503759398</v>
      </c>
      <c r="G231" s="4">
        <f t="shared" si="2"/>
        <v>544.5</v>
      </c>
      <c r="H231" s="4">
        <f t="shared" si="3"/>
        <v>0</v>
      </c>
      <c r="I231" s="5">
        <v>0.0</v>
      </c>
      <c r="J231" s="5">
        <v>0.0</v>
      </c>
      <c r="K231" s="6">
        <f t="shared" si="4"/>
        <v>0</v>
      </c>
    </row>
    <row r="232" ht="17.25" customHeight="1">
      <c r="B232" s="3" t="s">
        <v>240</v>
      </c>
      <c r="C232" s="4">
        <v>39567.0</v>
      </c>
      <c r="D232" s="5">
        <v>1257.0</v>
      </c>
      <c r="E232" s="5">
        <v>18.0</v>
      </c>
      <c r="F232" s="6">
        <f t="shared" si="1"/>
        <v>0.01431980907</v>
      </c>
      <c r="G232" s="4">
        <f t="shared" si="2"/>
        <v>2198.166667</v>
      </c>
      <c r="H232" s="4">
        <f t="shared" si="3"/>
        <v>0</v>
      </c>
      <c r="I232" s="5">
        <v>0.0</v>
      </c>
      <c r="J232" s="5">
        <v>0.0</v>
      </c>
      <c r="K232" s="6">
        <f t="shared" si="4"/>
        <v>0</v>
      </c>
    </row>
    <row r="233" ht="17.25" customHeight="1">
      <c r="B233" s="3" t="s">
        <v>241</v>
      </c>
      <c r="C233" s="4">
        <v>1199.0</v>
      </c>
      <c r="D233" s="5">
        <v>114.0</v>
      </c>
      <c r="E233" s="5">
        <v>2.0</v>
      </c>
      <c r="F233" s="6">
        <f t="shared" si="1"/>
        <v>0.01754385965</v>
      </c>
      <c r="G233" s="4">
        <f t="shared" si="2"/>
        <v>599.5</v>
      </c>
      <c r="H233" s="4">
        <f t="shared" si="3"/>
        <v>0</v>
      </c>
      <c r="I233" s="5">
        <v>0.0</v>
      </c>
      <c r="J233" s="5">
        <v>0.0</v>
      </c>
      <c r="K233" s="6">
        <f t="shared" si="4"/>
        <v>0</v>
      </c>
    </row>
    <row r="234" ht="17.25" customHeight="1">
      <c r="B234" s="3" t="s">
        <v>242</v>
      </c>
      <c r="C234" s="4">
        <v>583.0</v>
      </c>
      <c r="D234" s="5">
        <v>37.0</v>
      </c>
      <c r="E234" s="5">
        <v>1.0</v>
      </c>
      <c r="F234" s="6">
        <f t="shared" si="1"/>
        <v>0.02702702703</v>
      </c>
      <c r="G234" s="4">
        <f t="shared" si="2"/>
        <v>583</v>
      </c>
      <c r="H234" s="4">
        <f t="shared" si="3"/>
        <v>0</v>
      </c>
      <c r="I234" s="5">
        <v>0.0</v>
      </c>
      <c r="J234" s="5">
        <v>0.0</v>
      </c>
      <c r="K234" s="6">
        <f t="shared" si="4"/>
        <v>0</v>
      </c>
    </row>
    <row r="235" ht="17.25" customHeight="1">
      <c r="B235" s="3" t="s">
        <v>243</v>
      </c>
      <c r="C235" s="4">
        <v>737.0</v>
      </c>
      <c r="D235" s="5">
        <v>15.0</v>
      </c>
      <c r="E235" s="5">
        <v>1.0</v>
      </c>
      <c r="F235" s="6">
        <f t="shared" si="1"/>
        <v>0.06666666667</v>
      </c>
      <c r="G235" s="4">
        <f t="shared" si="2"/>
        <v>737</v>
      </c>
      <c r="H235" s="4">
        <f t="shared" si="3"/>
        <v>0</v>
      </c>
      <c r="I235" s="5">
        <v>0.0</v>
      </c>
      <c r="J235" s="5">
        <v>0.0</v>
      </c>
      <c r="K235" s="6">
        <f t="shared" si="4"/>
        <v>0</v>
      </c>
    </row>
    <row r="236" ht="17.25" customHeight="1">
      <c r="B236" s="3" t="s">
        <v>244</v>
      </c>
      <c r="C236" s="4">
        <v>2827.0</v>
      </c>
      <c r="D236" s="5">
        <v>59.0</v>
      </c>
      <c r="E236" s="5">
        <v>2.0</v>
      </c>
      <c r="F236" s="6">
        <f t="shared" si="1"/>
        <v>0.03389830508</v>
      </c>
      <c r="G236" s="4">
        <f t="shared" si="2"/>
        <v>1413.5</v>
      </c>
      <c r="H236" s="4">
        <f t="shared" si="3"/>
        <v>0</v>
      </c>
      <c r="I236" s="5">
        <v>0.0</v>
      </c>
      <c r="J236" s="5">
        <v>0.0</v>
      </c>
      <c r="K236" s="6">
        <f t="shared" si="4"/>
        <v>0</v>
      </c>
    </row>
    <row r="237" ht="17.25" customHeight="1">
      <c r="B237" s="3" t="s">
        <v>245</v>
      </c>
      <c r="C237" s="4">
        <v>1100.0</v>
      </c>
      <c r="D237" s="5">
        <v>7.0</v>
      </c>
      <c r="E237" s="5">
        <v>1.0</v>
      </c>
      <c r="F237" s="6">
        <f t="shared" si="1"/>
        <v>0.1428571429</v>
      </c>
      <c r="G237" s="4">
        <f t="shared" si="2"/>
        <v>1100</v>
      </c>
      <c r="H237" s="4">
        <f t="shared" si="3"/>
        <v>0</v>
      </c>
      <c r="I237" s="5">
        <v>0.0</v>
      </c>
      <c r="J237" s="5">
        <v>0.0</v>
      </c>
      <c r="K237" s="6">
        <f t="shared" si="4"/>
        <v>0</v>
      </c>
    </row>
    <row r="238" ht="17.25" customHeight="1">
      <c r="B238" s="3" t="s">
        <v>246</v>
      </c>
      <c r="C238" s="4">
        <v>2684.0</v>
      </c>
      <c r="D238" s="5">
        <v>56.0</v>
      </c>
      <c r="E238" s="5">
        <v>3.0</v>
      </c>
      <c r="F238" s="6">
        <f t="shared" si="1"/>
        <v>0.05357142857</v>
      </c>
      <c r="G238" s="4">
        <f t="shared" si="2"/>
        <v>894.6666667</v>
      </c>
      <c r="H238" s="4">
        <f t="shared" si="3"/>
        <v>0</v>
      </c>
      <c r="I238" s="5">
        <v>0.0</v>
      </c>
      <c r="J238" s="5">
        <v>0.0</v>
      </c>
      <c r="K238" s="6">
        <f t="shared" si="4"/>
        <v>0</v>
      </c>
    </row>
    <row r="239" ht="17.25" customHeight="1">
      <c r="B239" s="3" t="s">
        <v>247</v>
      </c>
      <c r="C239" s="4">
        <v>297.0</v>
      </c>
      <c r="D239" s="5">
        <v>8.0</v>
      </c>
      <c r="E239" s="5">
        <v>1.0</v>
      </c>
      <c r="F239" s="6">
        <f t="shared" si="1"/>
        <v>0.125</v>
      </c>
      <c r="G239" s="4">
        <f t="shared" si="2"/>
        <v>297</v>
      </c>
      <c r="H239" s="4">
        <f t="shared" si="3"/>
        <v>0</v>
      </c>
      <c r="I239" s="5">
        <v>0.0</v>
      </c>
      <c r="J239" s="5">
        <v>0.0</v>
      </c>
      <c r="K239" s="6">
        <f t="shared" si="4"/>
        <v>0</v>
      </c>
    </row>
    <row r="240" ht="17.25" customHeight="1">
      <c r="B240" s="3" t="s">
        <v>248</v>
      </c>
      <c r="C240" s="4">
        <v>14190.0</v>
      </c>
      <c r="D240" s="5">
        <v>552.0</v>
      </c>
      <c r="E240" s="5">
        <v>20.0</v>
      </c>
      <c r="F240" s="6">
        <f t="shared" si="1"/>
        <v>0.03623188406</v>
      </c>
      <c r="G240" s="4">
        <f t="shared" si="2"/>
        <v>709.5</v>
      </c>
      <c r="H240" s="4">
        <f t="shared" si="3"/>
        <v>0</v>
      </c>
      <c r="I240" s="5">
        <v>0.0</v>
      </c>
      <c r="J240" s="5">
        <v>0.0</v>
      </c>
      <c r="K240" s="6">
        <f t="shared" si="4"/>
        <v>0</v>
      </c>
    </row>
    <row r="241" ht="17.25" customHeight="1">
      <c r="B241" s="3" t="s">
        <v>249</v>
      </c>
      <c r="C241" s="4">
        <v>15180.0</v>
      </c>
      <c r="D241" s="5">
        <v>298.0</v>
      </c>
      <c r="E241" s="5">
        <v>16.0</v>
      </c>
      <c r="F241" s="6">
        <f t="shared" si="1"/>
        <v>0.05369127517</v>
      </c>
      <c r="G241" s="4">
        <f t="shared" si="2"/>
        <v>948.75</v>
      </c>
      <c r="H241" s="4">
        <f t="shared" si="3"/>
        <v>0</v>
      </c>
      <c r="I241" s="5">
        <v>0.0</v>
      </c>
      <c r="J241" s="5">
        <v>0.0</v>
      </c>
      <c r="K241" s="6">
        <f t="shared" si="4"/>
        <v>0</v>
      </c>
    </row>
    <row r="242" ht="17.25" customHeight="1">
      <c r="B242" s="3" t="s">
        <v>250</v>
      </c>
      <c r="C242" s="4">
        <v>21351.0</v>
      </c>
      <c r="D242" s="5">
        <v>109.0</v>
      </c>
      <c r="E242" s="5">
        <v>9.0</v>
      </c>
      <c r="F242" s="6">
        <f t="shared" si="1"/>
        <v>0.08256880734</v>
      </c>
      <c r="G242" s="4">
        <f t="shared" si="2"/>
        <v>2372.333333</v>
      </c>
      <c r="H242" s="4">
        <f t="shared" si="3"/>
        <v>0</v>
      </c>
      <c r="I242" s="5">
        <v>0.0</v>
      </c>
      <c r="J242" s="5">
        <v>0.0</v>
      </c>
      <c r="K242" s="6">
        <f t="shared" si="4"/>
        <v>0</v>
      </c>
    </row>
    <row r="243" ht="17.25" customHeight="1">
      <c r="B243" s="3" t="s">
        <v>251</v>
      </c>
      <c r="C243" s="4">
        <v>1001.0</v>
      </c>
      <c r="D243" s="5">
        <v>1.0</v>
      </c>
      <c r="E243" s="5">
        <v>1.0</v>
      </c>
      <c r="F243" s="6">
        <f t="shared" si="1"/>
        <v>1</v>
      </c>
      <c r="G243" s="4">
        <f t="shared" si="2"/>
        <v>1001</v>
      </c>
      <c r="H243" s="4">
        <f t="shared" si="3"/>
        <v>0</v>
      </c>
      <c r="I243" s="5">
        <v>0.0</v>
      </c>
      <c r="J243" s="5">
        <v>0.0</v>
      </c>
      <c r="K243" s="6">
        <f t="shared" si="4"/>
        <v>0</v>
      </c>
    </row>
    <row r="244" ht="17.25" customHeight="1">
      <c r="B244" s="3" t="s">
        <v>252</v>
      </c>
      <c r="C244" s="4">
        <v>1694.0</v>
      </c>
      <c r="D244" s="5">
        <v>8.0</v>
      </c>
      <c r="E244" s="5">
        <v>2.0</v>
      </c>
      <c r="F244" s="6">
        <f t="shared" si="1"/>
        <v>0.25</v>
      </c>
      <c r="G244" s="4">
        <f t="shared" si="2"/>
        <v>847</v>
      </c>
      <c r="H244" s="4">
        <f t="shared" si="3"/>
        <v>1694</v>
      </c>
      <c r="I244" s="5">
        <v>1.0</v>
      </c>
      <c r="J244" s="5">
        <v>0.0</v>
      </c>
      <c r="K244" s="6">
        <f t="shared" si="4"/>
        <v>0</v>
      </c>
    </row>
    <row r="245" ht="17.25" customHeight="1">
      <c r="B245" s="3" t="s">
        <v>253</v>
      </c>
      <c r="C245" s="4">
        <v>66792.0</v>
      </c>
      <c r="D245" s="5">
        <v>2537.0</v>
      </c>
      <c r="E245" s="5">
        <v>59.0</v>
      </c>
      <c r="F245" s="6">
        <f t="shared" si="1"/>
        <v>0.02325581395</v>
      </c>
      <c r="G245" s="4">
        <f t="shared" si="2"/>
        <v>1132.067797</v>
      </c>
      <c r="H245" s="4">
        <f t="shared" si="3"/>
        <v>4770.857143</v>
      </c>
      <c r="I245" s="5">
        <v>14.0</v>
      </c>
      <c r="J245" s="5">
        <v>305985.0</v>
      </c>
      <c r="K245" s="6">
        <f t="shared" si="4"/>
        <v>4.581162415</v>
      </c>
    </row>
    <row r="246" ht="17.25" customHeight="1">
      <c r="B246" s="3" t="s">
        <v>254</v>
      </c>
      <c r="C246" s="4">
        <v>814.0</v>
      </c>
      <c r="D246" s="5">
        <v>26.0</v>
      </c>
      <c r="E246" s="5">
        <v>2.0</v>
      </c>
      <c r="F246" s="6">
        <f t="shared" si="1"/>
        <v>0.07692307692</v>
      </c>
      <c r="G246" s="4">
        <f t="shared" si="2"/>
        <v>407</v>
      </c>
      <c r="H246" s="4">
        <f t="shared" si="3"/>
        <v>0</v>
      </c>
      <c r="I246" s="5">
        <v>0.0</v>
      </c>
      <c r="J246" s="5">
        <v>0.0</v>
      </c>
      <c r="K246" s="6">
        <f t="shared" si="4"/>
        <v>0</v>
      </c>
    </row>
    <row r="247" ht="17.25" customHeight="1">
      <c r="B247" s="3" t="s">
        <v>255</v>
      </c>
      <c r="C247" s="4">
        <v>4301.0</v>
      </c>
      <c r="D247" s="5">
        <v>41.0</v>
      </c>
      <c r="E247" s="5">
        <v>4.0</v>
      </c>
      <c r="F247" s="6">
        <f t="shared" si="1"/>
        <v>0.09756097561</v>
      </c>
      <c r="G247" s="4">
        <f t="shared" si="2"/>
        <v>1075.25</v>
      </c>
      <c r="H247" s="4">
        <f t="shared" si="3"/>
        <v>0</v>
      </c>
      <c r="I247" s="5">
        <v>0.0</v>
      </c>
      <c r="J247" s="5">
        <v>0.0</v>
      </c>
      <c r="K247" s="6">
        <f t="shared" si="4"/>
        <v>0</v>
      </c>
    </row>
    <row r="248" ht="17.25" customHeight="1">
      <c r="B248" s="3" t="s">
        <v>256</v>
      </c>
      <c r="C248" s="4">
        <v>308.0</v>
      </c>
      <c r="D248" s="5">
        <v>29.0</v>
      </c>
      <c r="E248" s="5">
        <v>1.0</v>
      </c>
      <c r="F248" s="6">
        <f t="shared" si="1"/>
        <v>0.03448275862</v>
      </c>
      <c r="G248" s="4">
        <f t="shared" si="2"/>
        <v>308</v>
      </c>
      <c r="H248" s="4">
        <f t="shared" si="3"/>
        <v>0</v>
      </c>
      <c r="I248" s="5">
        <v>0.0</v>
      </c>
      <c r="J248" s="5">
        <v>0.0</v>
      </c>
      <c r="K248" s="6">
        <f t="shared" si="4"/>
        <v>0</v>
      </c>
    </row>
    <row r="249" ht="17.25" customHeight="1">
      <c r="B249" s="3" t="s">
        <v>257</v>
      </c>
      <c r="C249" s="4">
        <v>16610.0</v>
      </c>
      <c r="D249" s="5">
        <v>658.0</v>
      </c>
      <c r="E249" s="5">
        <v>8.0</v>
      </c>
      <c r="F249" s="6">
        <f t="shared" si="1"/>
        <v>0.01215805471</v>
      </c>
      <c r="G249" s="4">
        <f t="shared" si="2"/>
        <v>2076.25</v>
      </c>
      <c r="H249" s="4">
        <f t="shared" si="3"/>
        <v>0</v>
      </c>
      <c r="I249" s="5">
        <v>0.0</v>
      </c>
      <c r="J249" s="5">
        <v>0.0</v>
      </c>
      <c r="K249" s="6">
        <f t="shared" si="4"/>
        <v>0</v>
      </c>
    </row>
    <row r="250" ht="17.25" customHeight="1">
      <c r="B250" s="3" t="s">
        <v>258</v>
      </c>
      <c r="C250" s="4">
        <v>7381.0</v>
      </c>
      <c r="D250" s="5">
        <v>176.0</v>
      </c>
      <c r="E250" s="5">
        <v>10.0</v>
      </c>
      <c r="F250" s="6">
        <f t="shared" si="1"/>
        <v>0.05681818182</v>
      </c>
      <c r="G250" s="4">
        <f t="shared" si="2"/>
        <v>738.1</v>
      </c>
      <c r="H250" s="4">
        <f t="shared" si="3"/>
        <v>0</v>
      </c>
      <c r="I250" s="5">
        <v>0.0</v>
      </c>
      <c r="J250" s="5">
        <v>0.0</v>
      </c>
      <c r="K250" s="6">
        <f t="shared" si="4"/>
        <v>0</v>
      </c>
    </row>
    <row r="251" ht="17.25" customHeight="1">
      <c r="B251" s="3" t="s">
        <v>259</v>
      </c>
      <c r="C251" s="4">
        <v>1793.0</v>
      </c>
      <c r="D251" s="5">
        <v>12.0</v>
      </c>
      <c r="E251" s="5">
        <v>1.0</v>
      </c>
      <c r="F251" s="6">
        <f t="shared" si="1"/>
        <v>0.08333333333</v>
      </c>
      <c r="G251" s="4">
        <f t="shared" si="2"/>
        <v>1793</v>
      </c>
      <c r="H251" s="4">
        <f t="shared" si="3"/>
        <v>0</v>
      </c>
      <c r="I251" s="5">
        <v>0.0</v>
      </c>
      <c r="J251" s="5">
        <v>0.0</v>
      </c>
      <c r="K251" s="6">
        <f t="shared" si="4"/>
        <v>0</v>
      </c>
    </row>
    <row r="252" ht="17.25" customHeight="1">
      <c r="B252" s="3" t="s">
        <v>260</v>
      </c>
      <c r="C252" s="4">
        <v>3124.0</v>
      </c>
      <c r="D252" s="5">
        <v>215.0</v>
      </c>
      <c r="E252" s="5">
        <v>4.0</v>
      </c>
      <c r="F252" s="6">
        <f t="shared" si="1"/>
        <v>0.01860465116</v>
      </c>
      <c r="G252" s="4">
        <f t="shared" si="2"/>
        <v>781</v>
      </c>
      <c r="H252" s="4">
        <f t="shared" si="3"/>
        <v>0</v>
      </c>
      <c r="I252" s="5">
        <v>0.0</v>
      </c>
      <c r="J252" s="5">
        <v>0.0</v>
      </c>
      <c r="K252" s="6">
        <f t="shared" si="4"/>
        <v>0</v>
      </c>
    </row>
    <row r="253" ht="17.25" customHeight="1">
      <c r="B253" s="3" t="s">
        <v>261</v>
      </c>
      <c r="C253" s="4">
        <v>39204.0</v>
      </c>
      <c r="D253" s="5">
        <v>3120.0</v>
      </c>
      <c r="E253" s="5">
        <v>24.0</v>
      </c>
      <c r="F253" s="6">
        <f t="shared" si="1"/>
        <v>0.007692307692</v>
      </c>
      <c r="G253" s="4">
        <f t="shared" si="2"/>
        <v>1633.5</v>
      </c>
      <c r="H253" s="4">
        <f t="shared" si="3"/>
        <v>0</v>
      </c>
      <c r="I253" s="5">
        <v>0.0</v>
      </c>
      <c r="J253" s="5">
        <v>0.0</v>
      </c>
      <c r="K253" s="6">
        <f t="shared" si="4"/>
        <v>0</v>
      </c>
    </row>
    <row r="254" ht="17.25" customHeight="1">
      <c r="B254" s="3" t="s">
        <v>262</v>
      </c>
      <c r="C254" s="4">
        <v>1210.0</v>
      </c>
      <c r="D254" s="5">
        <v>28.0</v>
      </c>
      <c r="E254" s="5">
        <v>2.0</v>
      </c>
      <c r="F254" s="6">
        <f t="shared" si="1"/>
        <v>0.07142857143</v>
      </c>
      <c r="G254" s="4">
        <f t="shared" si="2"/>
        <v>605</v>
      </c>
      <c r="H254" s="4">
        <f t="shared" si="3"/>
        <v>0</v>
      </c>
      <c r="I254" s="5">
        <v>0.0</v>
      </c>
      <c r="J254" s="5">
        <v>0.0</v>
      </c>
      <c r="K254" s="6">
        <f t="shared" si="4"/>
        <v>0</v>
      </c>
    </row>
    <row r="255" ht="17.25" customHeight="1">
      <c r="B255" s="3" t="s">
        <v>263</v>
      </c>
      <c r="C255" s="4">
        <v>803.0</v>
      </c>
      <c r="D255" s="5">
        <v>69.0</v>
      </c>
      <c r="E255" s="5">
        <v>1.0</v>
      </c>
      <c r="F255" s="6">
        <f t="shared" si="1"/>
        <v>0.01449275362</v>
      </c>
      <c r="G255" s="4">
        <f t="shared" si="2"/>
        <v>803</v>
      </c>
      <c r="H255" s="4">
        <f t="shared" si="3"/>
        <v>0</v>
      </c>
      <c r="I255" s="5">
        <v>0.0</v>
      </c>
      <c r="J255" s="5">
        <v>0.0</v>
      </c>
      <c r="K255" s="6">
        <f t="shared" si="4"/>
        <v>0</v>
      </c>
    </row>
    <row r="256" ht="17.25" customHeight="1">
      <c r="B256" s="3" t="s">
        <v>264</v>
      </c>
      <c r="C256" s="4">
        <v>7249.0</v>
      </c>
      <c r="D256" s="5">
        <v>61.0</v>
      </c>
      <c r="E256" s="5">
        <v>7.0</v>
      </c>
      <c r="F256" s="6">
        <f t="shared" si="1"/>
        <v>0.1147540984</v>
      </c>
      <c r="G256" s="4">
        <f t="shared" si="2"/>
        <v>1035.571429</v>
      </c>
      <c r="H256" s="4">
        <f t="shared" si="3"/>
        <v>0</v>
      </c>
      <c r="I256" s="5">
        <v>0.0</v>
      </c>
      <c r="J256" s="5">
        <v>0.0</v>
      </c>
      <c r="K256" s="6">
        <f t="shared" si="4"/>
        <v>0</v>
      </c>
    </row>
    <row r="257" ht="17.25" customHeight="1">
      <c r="B257" s="3" t="s">
        <v>265</v>
      </c>
      <c r="C257" s="4">
        <v>407.0</v>
      </c>
      <c r="D257" s="5">
        <v>6.0</v>
      </c>
      <c r="E257" s="5">
        <v>1.0</v>
      </c>
      <c r="F257" s="6">
        <f t="shared" si="1"/>
        <v>0.1666666667</v>
      </c>
      <c r="G257" s="4">
        <f t="shared" si="2"/>
        <v>407</v>
      </c>
      <c r="H257" s="4">
        <f t="shared" si="3"/>
        <v>203.5</v>
      </c>
      <c r="I257" s="5">
        <v>2.0</v>
      </c>
      <c r="J257" s="5">
        <v>0.0</v>
      </c>
      <c r="K257" s="6">
        <f t="shared" si="4"/>
        <v>0</v>
      </c>
    </row>
    <row r="258" ht="17.25" customHeight="1">
      <c r="B258" s="3" t="s">
        <v>266</v>
      </c>
      <c r="C258" s="4">
        <v>17424.0</v>
      </c>
      <c r="D258" s="5">
        <v>324.0</v>
      </c>
      <c r="E258" s="5">
        <v>7.0</v>
      </c>
      <c r="F258" s="6">
        <f t="shared" si="1"/>
        <v>0.02160493827</v>
      </c>
      <c r="G258" s="4">
        <f t="shared" si="2"/>
        <v>2489.142857</v>
      </c>
      <c r="H258" s="4">
        <f t="shared" si="3"/>
        <v>0</v>
      </c>
      <c r="I258" s="5">
        <v>0.0</v>
      </c>
      <c r="J258" s="5">
        <v>0.0</v>
      </c>
      <c r="K258" s="6">
        <f t="shared" si="4"/>
        <v>0</v>
      </c>
    </row>
    <row r="259" ht="17.25" customHeight="1">
      <c r="B259" s="3" t="s">
        <v>267</v>
      </c>
      <c r="C259" s="4">
        <v>10648.0</v>
      </c>
      <c r="D259" s="5">
        <v>88.0</v>
      </c>
      <c r="E259" s="5">
        <v>2.0</v>
      </c>
      <c r="F259" s="6">
        <f t="shared" si="1"/>
        <v>0.02272727273</v>
      </c>
      <c r="G259" s="4">
        <f t="shared" si="2"/>
        <v>5324</v>
      </c>
      <c r="H259" s="4">
        <f t="shared" si="3"/>
        <v>0</v>
      </c>
      <c r="I259" s="5">
        <v>0.0</v>
      </c>
      <c r="J259" s="5">
        <v>0.0</v>
      </c>
      <c r="K259" s="6">
        <f t="shared" si="4"/>
        <v>0</v>
      </c>
    </row>
    <row r="260" ht="17.25" customHeight="1">
      <c r="B260" s="3" t="s">
        <v>268</v>
      </c>
      <c r="C260" s="4">
        <v>9493.0</v>
      </c>
      <c r="D260" s="5">
        <v>23.0</v>
      </c>
      <c r="E260" s="5">
        <v>3.0</v>
      </c>
      <c r="F260" s="6">
        <f t="shared" si="1"/>
        <v>0.1304347826</v>
      </c>
      <c r="G260" s="4">
        <f t="shared" si="2"/>
        <v>3164.333333</v>
      </c>
      <c r="H260" s="4">
        <f t="shared" si="3"/>
        <v>0</v>
      </c>
      <c r="I260" s="5">
        <v>0.0</v>
      </c>
      <c r="J260" s="5">
        <v>0.0</v>
      </c>
      <c r="K260" s="6">
        <f t="shared" si="4"/>
        <v>0</v>
      </c>
    </row>
    <row r="261" ht="17.25" customHeight="1">
      <c r="B261" s="3" t="s">
        <v>269</v>
      </c>
      <c r="C261" s="4">
        <v>3201.0</v>
      </c>
      <c r="D261" s="5">
        <v>92.0</v>
      </c>
      <c r="E261" s="5">
        <v>2.0</v>
      </c>
      <c r="F261" s="6">
        <f t="shared" si="1"/>
        <v>0.02173913043</v>
      </c>
      <c r="G261" s="4">
        <f t="shared" si="2"/>
        <v>1600.5</v>
      </c>
      <c r="H261" s="4">
        <f t="shared" si="3"/>
        <v>0</v>
      </c>
      <c r="I261" s="5">
        <v>0.0</v>
      </c>
      <c r="J261" s="5">
        <v>0.0</v>
      </c>
      <c r="K261" s="6">
        <f t="shared" si="4"/>
        <v>0</v>
      </c>
    </row>
    <row r="262" ht="17.25" customHeight="1">
      <c r="B262" s="3" t="s">
        <v>270</v>
      </c>
      <c r="C262" s="4">
        <v>11275.0</v>
      </c>
      <c r="D262" s="5">
        <v>140.0</v>
      </c>
      <c r="E262" s="5">
        <v>5.0</v>
      </c>
      <c r="F262" s="6">
        <f t="shared" si="1"/>
        <v>0.03571428571</v>
      </c>
      <c r="G262" s="4">
        <f t="shared" si="2"/>
        <v>2255</v>
      </c>
      <c r="H262" s="4">
        <f t="shared" si="3"/>
        <v>0</v>
      </c>
      <c r="I262" s="5">
        <v>0.0</v>
      </c>
      <c r="J262" s="5">
        <v>0.0</v>
      </c>
      <c r="K262" s="6">
        <f t="shared" si="4"/>
        <v>0</v>
      </c>
    </row>
    <row r="263" ht="17.25" customHeight="1">
      <c r="B263" s="3" t="s">
        <v>271</v>
      </c>
      <c r="C263" s="4">
        <v>2959.0</v>
      </c>
      <c r="D263" s="5">
        <v>85.0</v>
      </c>
      <c r="E263" s="5">
        <v>1.0</v>
      </c>
      <c r="F263" s="6">
        <f t="shared" si="1"/>
        <v>0.01176470588</v>
      </c>
      <c r="G263" s="4">
        <f t="shared" si="2"/>
        <v>2959</v>
      </c>
      <c r="H263" s="4">
        <f t="shared" si="3"/>
        <v>0</v>
      </c>
      <c r="I263" s="5">
        <v>0.0</v>
      </c>
      <c r="J263" s="5">
        <v>0.0</v>
      </c>
      <c r="K263" s="6">
        <f t="shared" si="4"/>
        <v>0</v>
      </c>
    </row>
    <row r="264" ht="17.25" customHeight="1">
      <c r="B264" s="3" t="s">
        <v>272</v>
      </c>
      <c r="C264" s="4">
        <v>2189.0</v>
      </c>
      <c r="D264" s="5">
        <v>381.0</v>
      </c>
      <c r="E264" s="5">
        <v>3.0</v>
      </c>
      <c r="F264" s="6">
        <f t="shared" si="1"/>
        <v>0.007874015748</v>
      </c>
      <c r="G264" s="4">
        <f t="shared" si="2"/>
        <v>729.6666667</v>
      </c>
      <c r="H264" s="4">
        <f t="shared" si="3"/>
        <v>0</v>
      </c>
      <c r="I264" s="5">
        <v>0.0</v>
      </c>
      <c r="J264" s="5">
        <v>0.0</v>
      </c>
      <c r="K264" s="6">
        <f t="shared" si="4"/>
        <v>0</v>
      </c>
    </row>
    <row r="265" ht="17.25" customHeight="1">
      <c r="B265" s="3" t="s">
        <v>273</v>
      </c>
      <c r="C265" s="4">
        <v>869.0</v>
      </c>
      <c r="D265" s="5">
        <v>22.0</v>
      </c>
      <c r="E265" s="5">
        <v>1.0</v>
      </c>
      <c r="F265" s="6">
        <f t="shared" si="1"/>
        <v>0.04545454545</v>
      </c>
      <c r="G265" s="4">
        <f t="shared" si="2"/>
        <v>869</v>
      </c>
      <c r="H265" s="4">
        <f t="shared" si="3"/>
        <v>0</v>
      </c>
      <c r="I265" s="5">
        <v>0.0</v>
      </c>
      <c r="J265" s="5">
        <v>0.0</v>
      </c>
      <c r="K265" s="6">
        <f t="shared" si="4"/>
        <v>0</v>
      </c>
    </row>
    <row r="266" ht="17.25" customHeight="1">
      <c r="B266" s="3" t="s">
        <v>274</v>
      </c>
      <c r="C266" s="4">
        <v>122892.0</v>
      </c>
      <c r="D266" s="5">
        <v>39786.0</v>
      </c>
      <c r="E266" s="5">
        <v>59.0</v>
      </c>
      <c r="F266" s="6">
        <f t="shared" si="1"/>
        <v>0.001482933695</v>
      </c>
      <c r="G266" s="4">
        <f t="shared" si="2"/>
        <v>2082.915254</v>
      </c>
      <c r="H266" s="4">
        <f t="shared" si="3"/>
        <v>0</v>
      </c>
      <c r="I266" s="5">
        <v>0.0</v>
      </c>
      <c r="J266" s="5">
        <v>0.0</v>
      </c>
      <c r="K266" s="6">
        <f t="shared" si="4"/>
        <v>0</v>
      </c>
    </row>
    <row r="267" ht="17.25" customHeight="1">
      <c r="B267" s="3" t="s">
        <v>275</v>
      </c>
      <c r="C267" s="4">
        <v>9559.0</v>
      </c>
      <c r="D267" s="5">
        <v>694.0</v>
      </c>
      <c r="E267" s="5">
        <v>11.0</v>
      </c>
      <c r="F267" s="6">
        <f t="shared" si="1"/>
        <v>0.01585014409</v>
      </c>
      <c r="G267" s="4">
        <f t="shared" si="2"/>
        <v>869</v>
      </c>
      <c r="H267" s="4">
        <f t="shared" si="3"/>
        <v>0</v>
      </c>
      <c r="I267" s="5">
        <v>0.0</v>
      </c>
      <c r="J267" s="5">
        <v>0.0</v>
      </c>
      <c r="K267" s="6">
        <f t="shared" si="4"/>
        <v>0</v>
      </c>
    </row>
    <row r="268" ht="17.25" customHeight="1">
      <c r="B268" s="3" t="s">
        <v>276</v>
      </c>
      <c r="C268" s="4">
        <v>3036.0</v>
      </c>
      <c r="D268" s="5">
        <v>140.0</v>
      </c>
      <c r="E268" s="5">
        <v>4.0</v>
      </c>
      <c r="F268" s="6">
        <f t="shared" si="1"/>
        <v>0.02857142857</v>
      </c>
      <c r="G268" s="4">
        <f t="shared" si="2"/>
        <v>759</v>
      </c>
      <c r="H268" s="4">
        <f t="shared" si="3"/>
        <v>0</v>
      </c>
      <c r="I268" s="5">
        <v>0.0</v>
      </c>
      <c r="J268" s="5">
        <v>0.0</v>
      </c>
      <c r="K268" s="6">
        <f t="shared" si="4"/>
        <v>0</v>
      </c>
    </row>
    <row r="269" ht="17.25" customHeight="1">
      <c r="B269" s="3" t="s">
        <v>277</v>
      </c>
      <c r="C269" s="4">
        <v>95084.0</v>
      </c>
      <c r="D269" s="5">
        <v>27287.0</v>
      </c>
      <c r="E269" s="5">
        <v>82.0</v>
      </c>
      <c r="F269" s="6">
        <f t="shared" si="1"/>
        <v>0.003005094001</v>
      </c>
      <c r="G269" s="4">
        <f t="shared" si="2"/>
        <v>1159.560976</v>
      </c>
      <c r="H269" s="4">
        <f t="shared" si="3"/>
        <v>10564.88889</v>
      </c>
      <c r="I269" s="5">
        <v>9.0</v>
      </c>
      <c r="J269" s="5">
        <v>0.0</v>
      </c>
      <c r="K269" s="6">
        <f t="shared" si="4"/>
        <v>0</v>
      </c>
    </row>
    <row r="270" ht="17.25" customHeight="1">
      <c r="B270" s="3" t="s">
        <v>278</v>
      </c>
      <c r="C270" s="4">
        <v>4796.0</v>
      </c>
      <c r="D270" s="5">
        <v>2010.0</v>
      </c>
      <c r="E270" s="5">
        <v>3.0</v>
      </c>
      <c r="F270" s="6">
        <f t="shared" si="1"/>
        <v>0.001492537313</v>
      </c>
      <c r="G270" s="4">
        <f t="shared" si="2"/>
        <v>1598.666667</v>
      </c>
      <c r="H270" s="4">
        <f t="shared" si="3"/>
        <v>0</v>
      </c>
      <c r="I270" s="5">
        <v>0.0</v>
      </c>
      <c r="J270" s="5">
        <v>0.0</v>
      </c>
      <c r="K270" s="6">
        <f t="shared" si="4"/>
        <v>0</v>
      </c>
    </row>
    <row r="271" ht="17.25" customHeight="1">
      <c r="B271" s="3" t="s">
        <v>279</v>
      </c>
      <c r="C271" s="4">
        <v>12892.0</v>
      </c>
      <c r="D271" s="5">
        <v>1108.0</v>
      </c>
      <c r="E271" s="5">
        <v>10.0</v>
      </c>
      <c r="F271" s="6">
        <f t="shared" si="1"/>
        <v>0.009025270758</v>
      </c>
      <c r="G271" s="4">
        <f t="shared" si="2"/>
        <v>1289.2</v>
      </c>
      <c r="H271" s="4">
        <f t="shared" si="3"/>
        <v>0</v>
      </c>
      <c r="I271" s="5">
        <v>0.0</v>
      </c>
      <c r="J271" s="5">
        <v>0.0</v>
      </c>
      <c r="K271" s="6">
        <f t="shared" si="4"/>
        <v>0</v>
      </c>
    </row>
    <row r="272" ht="17.25" customHeight="1">
      <c r="B272" s="3" t="s">
        <v>280</v>
      </c>
      <c r="C272" s="4">
        <v>89452.0</v>
      </c>
      <c r="D272" s="5">
        <v>5627.0</v>
      </c>
      <c r="E272" s="5">
        <v>72.0</v>
      </c>
      <c r="F272" s="6">
        <f t="shared" si="1"/>
        <v>0.01279545051</v>
      </c>
      <c r="G272" s="4">
        <f t="shared" si="2"/>
        <v>1242.388889</v>
      </c>
      <c r="H272" s="4">
        <f t="shared" si="3"/>
        <v>3889.217391</v>
      </c>
      <c r="I272" s="5">
        <v>23.0</v>
      </c>
      <c r="J272" s="5">
        <v>0.0</v>
      </c>
      <c r="K272" s="6">
        <f t="shared" si="4"/>
        <v>0</v>
      </c>
    </row>
    <row r="273" ht="17.25" customHeight="1">
      <c r="B273" s="3" t="s">
        <v>281</v>
      </c>
      <c r="C273" s="4">
        <v>1430.0</v>
      </c>
      <c r="D273" s="5">
        <v>48.0</v>
      </c>
      <c r="E273" s="5">
        <v>2.0</v>
      </c>
      <c r="F273" s="6">
        <f t="shared" si="1"/>
        <v>0.04166666667</v>
      </c>
      <c r="G273" s="4">
        <f t="shared" si="2"/>
        <v>715</v>
      </c>
      <c r="H273" s="4">
        <f t="shared" si="3"/>
        <v>0</v>
      </c>
      <c r="I273" s="5">
        <v>0.0</v>
      </c>
      <c r="J273" s="5">
        <v>0.0</v>
      </c>
      <c r="K273" s="6">
        <f t="shared" si="4"/>
        <v>0</v>
      </c>
    </row>
    <row r="274" ht="17.25" customHeight="1">
      <c r="B274" s="3" t="s">
        <v>282</v>
      </c>
      <c r="C274" s="4">
        <v>72864.0</v>
      </c>
      <c r="D274" s="5">
        <v>6876.0</v>
      </c>
      <c r="E274" s="5">
        <v>71.0</v>
      </c>
      <c r="F274" s="6">
        <f t="shared" si="1"/>
        <v>0.0103257708</v>
      </c>
      <c r="G274" s="4">
        <f t="shared" si="2"/>
        <v>1026.253521</v>
      </c>
      <c r="H274" s="4">
        <f t="shared" si="3"/>
        <v>0</v>
      </c>
      <c r="I274" s="5">
        <v>0.0</v>
      </c>
      <c r="J274" s="5">
        <v>0.0</v>
      </c>
      <c r="K274" s="6">
        <f t="shared" si="4"/>
        <v>0</v>
      </c>
    </row>
    <row r="275" ht="17.25" customHeight="1">
      <c r="B275" s="3" t="s">
        <v>283</v>
      </c>
      <c r="C275" s="4">
        <v>3806.0</v>
      </c>
      <c r="D275" s="5">
        <v>57.0</v>
      </c>
      <c r="E275" s="5">
        <v>6.0</v>
      </c>
      <c r="F275" s="6">
        <f t="shared" si="1"/>
        <v>0.1052631579</v>
      </c>
      <c r="G275" s="4">
        <f t="shared" si="2"/>
        <v>634.3333333</v>
      </c>
      <c r="H275" s="4">
        <f t="shared" si="3"/>
        <v>0</v>
      </c>
      <c r="I275" s="5">
        <v>0.0</v>
      </c>
      <c r="J275" s="5">
        <v>0.0</v>
      </c>
      <c r="K275" s="6">
        <f t="shared" si="4"/>
        <v>0</v>
      </c>
    </row>
    <row r="276" ht="17.25" customHeight="1">
      <c r="B276" s="3" t="s">
        <v>284</v>
      </c>
      <c r="C276" s="4">
        <v>6743.0</v>
      </c>
      <c r="D276" s="5">
        <v>89.0</v>
      </c>
      <c r="E276" s="5">
        <v>7.0</v>
      </c>
      <c r="F276" s="6">
        <f t="shared" si="1"/>
        <v>0.07865168539</v>
      </c>
      <c r="G276" s="4">
        <f t="shared" si="2"/>
        <v>963.2857143</v>
      </c>
      <c r="H276" s="4">
        <f t="shared" si="3"/>
        <v>0</v>
      </c>
      <c r="I276" s="5">
        <v>0.0</v>
      </c>
      <c r="J276" s="5">
        <v>0.0</v>
      </c>
      <c r="K276" s="6">
        <f t="shared" si="4"/>
        <v>0</v>
      </c>
    </row>
    <row r="277" ht="17.25" customHeight="1">
      <c r="B277" s="3" t="s">
        <v>285</v>
      </c>
      <c r="C277" s="4">
        <v>127259.0</v>
      </c>
      <c r="D277" s="5">
        <v>3906.0</v>
      </c>
      <c r="E277" s="5">
        <v>91.0</v>
      </c>
      <c r="F277" s="6">
        <f t="shared" si="1"/>
        <v>0.02329749104</v>
      </c>
      <c r="G277" s="4">
        <f t="shared" si="2"/>
        <v>1398.450549</v>
      </c>
      <c r="H277" s="4">
        <f t="shared" si="3"/>
        <v>7953.6875</v>
      </c>
      <c r="I277" s="5">
        <v>16.0</v>
      </c>
      <c r="J277" s="5">
        <v>406513.0</v>
      </c>
      <c r="K277" s="6">
        <f t="shared" si="4"/>
        <v>3.19437525</v>
      </c>
    </row>
    <row r="278" ht="17.25" customHeight="1">
      <c r="B278" s="3" t="s">
        <v>286</v>
      </c>
      <c r="C278" s="4">
        <v>21472.0</v>
      </c>
      <c r="D278" s="5">
        <v>796.0</v>
      </c>
      <c r="E278" s="5">
        <v>11.0</v>
      </c>
      <c r="F278" s="6">
        <f t="shared" si="1"/>
        <v>0.01381909548</v>
      </c>
      <c r="G278" s="4">
        <f t="shared" si="2"/>
        <v>1952</v>
      </c>
      <c r="H278" s="4">
        <f t="shared" si="3"/>
        <v>21472</v>
      </c>
      <c r="I278" s="5">
        <v>1.0</v>
      </c>
      <c r="J278" s="5">
        <v>0.0</v>
      </c>
      <c r="K278" s="6">
        <f t="shared" si="4"/>
        <v>0</v>
      </c>
    </row>
    <row r="279" ht="17.25" customHeight="1">
      <c r="B279" s="3" t="s">
        <v>287</v>
      </c>
      <c r="C279" s="4">
        <v>3168.0</v>
      </c>
      <c r="D279" s="5">
        <v>44.0</v>
      </c>
      <c r="E279" s="5">
        <v>5.0</v>
      </c>
      <c r="F279" s="6">
        <f t="shared" si="1"/>
        <v>0.1136363636</v>
      </c>
      <c r="G279" s="4">
        <f t="shared" si="2"/>
        <v>633.6</v>
      </c>
      <c r="H279" s="4">
        <f t="shared" si="3"/>
        <v>0</v>
      </c>
      <c r="I279" s="5">
        <v>0.0</v>
      </c>
      <c r="J279" s="5">
        <v>0.0</v>
      </c>
      <c r="K279" s="6">
        <f t="shared" si="4"/>
        <v>0</v>
      </c>
    </row>
    <row r="280" ht="17.25" customHeight="1">
      <c r="B280" s="3" t="s">
        <v>288</v>
      </c>
      <c r="C280" s="4">
        <v>1309.0</v>
      </c>
      <c r="D280" s="5">
        <v>215.0</v>
      </c>
      <c r="E280" s="5">
        <v>1.0</v>
      </c>
      <c r="F280" s="6">
        <f t="shared" si="1"/>
        <v>0.004651162791</v>
      </c>
      <c r="G280" s="4">
        <f t="shared" si="2"/>
        <v>1309</v>
      </c>
      <c r="H280" s="4">
        <f t="shared" si="3"/>
        <v>0</v>
      </c>
      <c r="I280" s="5">
        <v>0.0</v>
      </c>
      <c r="J280" s="5">
        <v>0.0</v>
      </c>
      <c r="K280" s="6">
        <f t="shared" si="4"/>
        <v>0</v>
      </c>
    </row>
    <row r="281" ht="17.25" customHeight="1">
      <c r="B281" s="3" t="s">
        <v>289</v>
      </c>
      <c r="C281" s="4">
        <v>21461.0</v>
      </c>
      <c r="D281" s="5">
        <v>4379.0</v>
      </c>
      <c r="E281" s="5">
        <v>17.0</v>
      </c>
      <c r="F281" s="6">
        <f t="shared" si="1"/>
        <v>0.003882164878</v>
      </c>
      <c r="G281" s="4">
        <f t="shared" si="2"/>
        <v>1262.411765</v>
      </c>
      <c r="H281" s="4">
        <f t="shared" si="3"/>
        <v>0</v>
      </c>
      <c r="I281" s="5">
        <v>0.0</v>
      </c>
      <c r="J281" s="5">
        <v>0.0</v>
      </c>
      <c r="K281" s="6">
        <f t="shared" si="4"/>
        <v>0</v>
      </c>
    </row>
    <row r="282" ht="17.25" customHeight="1">
      <c r="B282" s="3" t="s">
        <v>290</v>
      </c>
      <c r="C282" s="4">
        <v>7645.0</v>
      </c>
      <c r="D282" s="5">
        <v>2465.0</v>
      </c>
      <c r="E282" s="5">
        <v>7.0</v>
      </c>
      <c r="F282" s="6">
        <f t="shared" si="1"/>
        <v>0.002839756592</v>
      </c>
      <c r="G282" s="4">
        <f t="shared" si="2"/>
        <v>1092.142857</v>
      </c>
      <c r="H282" s="4">
        <f t="shared" si="3"/>
        <v>695</v>
      </c>
      <c r="I282" s="5">
        <v>11.0</v>
      </c>
      <c r="J282" s="5">
        <v>370009.0</v>
      </c>
      <c r="K282" s="6">
        <f t="shared" si="4"/>
        <v>48.39882276</v>
      </c>
    </row>
    <row r="283" ht="17.25" customHeight="1">
      <c r="B283" s="3" t="s">
        <v>291</v>
      </c>
      <c r="C283" s="4">
        <v>6930.0</v>
      </c>
      <c r="D283" s="5">
        <v>21.0</v>
      </c>
      <c r="E283" s="5">
        <v>5.0</v>
      </c>
      <c r="F283" s="6">
        <f t="shared" si="1"/>
        <v>0.2380952381</v>
      </c>
      <c r="G283" s="4">
        <f t="shared" si="2"/>
        <v>1386</v>
      </c>
      <c r="H283" s="4">
        <f t="shared" si="3"/>
        <v>0</v>
      </c>
      <c r="I283" s="5">
        <v>0.0</v>
      </c>
      <c r="J283" s="5">
        <v>0.0</v>
      </c>
      <c r="K283" s="6">
        <f t="shared" si="4"/>
        <v>0</v>
      </c>
    </row>
    <row r="284" ht="17.25" customHeight="1">
      <c r="B284" s="3" t="s">
        <v>292</v>
      </c>
      <c r="C284" s="4">
        <v>1111.0</v>
      </c>
      <c r="D284" s="5">
        <v>44.0</v>
      </c>
      <c r="E284" s="5">
        <v>1.0</v>
      </c>
      <c r="F284" s="6">
        <f t="shared" si="1"/>
        <v>0.02272727273</v>
      </c>
      <c r="G284" s="4">
        <f t="shared" si="2"/>
        <v>1111</v>
      </c>
      <c r="H284" s="4">
        <f t="shared" si="3"/>
        <v>0</v>
      </c>
      <c r="I284" s="5">
        <v>0.0</v>
      </c>
      <c r="J284" s="5">
        <v>0.0</v>
      </c>
      <c r="K284" s="6">
        <f t="shared" si="4"/>
        <v>0</v>
      </c>
    </row>
    <row r="285" ht="17.25" customHeight="1">
      <c r="B285" s="3" t="s">
        <v>293</v>
      </c>
      <c r="C285" s="4">
        <v>4763.0</v>
      </c>
      <c r="D285" s="5">
        <v>68.0</v>
      </c>
      <c r="E285" s="5">
        <v>3.0</v>
      </c>
      <c r="F285" s="6">
        <f t="shared" si="1"/>
        <v>0.04411764706</v>
      </c>
      <c r="G285" s="4">
        <f t="shared" si="2"/>
        <v>1587.666667</v>
      </c>
      <c r="H285" s="4">
        <f t="shared" si="3"/>
        <v>0</v>
      </c>
      <c r="I285" s="5">
        <v>0.0</v>
      </c>
      <c r="J285" s="5">
        <v>0.0</v>
      </c>
      <c r="K285" s="6">
        <f t="shared" si="4"/>
        <v>0</v>
      </c>
    </row>
    <row r="286" ht="17.25" customHeight="1">
      <c r="B286" s="3" t="s">
        <v>294</v>
      </c>
      <c r="C286" s="4">
        <v>3289.0</v>
      </c>
      <c r="D286" s="5">
        <v>126.0</v>
      </c>
      <c r="E286" s="5">
        <v>4.0</v>
      </c>
      <c r="F286" s="6">
        <f t="shared" si="1"/>
        <v>0.03174603175</v>
      </c>
      <c r="G286" s="4">
        <f t="shared" si="2"/>
        <v>822.25</v>
      </c>
      <c r="H286" s="4">
        <f t="shared" si="3"/>
        <v>0</v>
      </c>
      <c r="I286" s="5">
        <v>0.0</v>
      </c>
      <c r="J286" s="5">
        <v>0.0</v>
      </c>
      <c r="K286" s="6">
        <f t="shared" si="4"/>
        <v>0</v>
      </c>
    </row>
    <row r="287" ht="17.25" customHeight="1">
      <c r="B287" s="3" t="s">
        <v>295</v>
      </c>
      <c r="C287" s="4">
        <v>61138.0</v>
      </c>
      <c r="D287" s="5">
        <v>2544.0</v>
      </c>
      <c r="E287" s="5">
        <v>61.0</v>
      </c>
      <c r="F287" s="6">
        <f t="shared" si="1"/>
        <v>0.02397798742</v>
      </c>
      <c r="G287" s="4">
        <f t="shared" si="2"/>
        <v>1002.262295</v>
      </c>
      <c r="H287" s="4">
        <f t="shared" si="3"/>
        <v>3596.352941</v>
      </c>
      <c r="I287" s="5">
        <v>17.0</v>
      </c>
      <c r="J287" s="5">
        <v>1251651.0</v>
      </c>
      <c r="K287" s="6">
        <f t="shared" si="4"/>
        <v>20.47255389</v>
      </c>
    </row>
    <row r="288" ht="17.25" customHeight="1">
      <c r="B288" s="3" t="s">
        <v>296</v>
      </c>
      <c r="C288" s="4">
        <v>11033.0</v>
      </c>
      <c r="D288" s="5">
        <v>93.0</v>
      </c>
      <c r="E288" s="5">
        <v>8.0</v>
      </c>
      <c r="F288" s="6">
        <f t="shared" si="1"/>
        <v>0.08602150538</v>
      </c>
      <c r="G288" s="4">
        <f t="shared" si="2"/>
        <v>1379.125</v>
      </c>
      <c r="H288" s="4">
        <f t="shared" si="3"/>
        <v>0</v>
      </c>
      <c r="I288" s="5">
        <v>0.0</v>
      </c>
      <c r="J288" s="5">
        <v>0.0</v>
      </c>
      <c r="K288" s="6">
        <f t="shared" si="4"/>
        <v>0</v>
      </c>
    </row>
    <row r="289" ht="17.25" customHeight="1">
      <c r="B289" s="3" t="s">
        <v>297</v>
      </c>
      <c r="C289" s="4">
        <v>12397.0</v>
      </c>
      <c r="D289" s="5">
        <v>100.0</v>
      </c>
      <c r="E289" s="5">
        <v>17.0</v>
      </c>
      <c r="F289" s="6">
        <f t="shared" si="1"/>
        <v>0.17</v>
      </c>
      <c r="G289" s="4">
        <f t="shared" si="2"/>
        <v>729.2352941</v>
      </c>
      <c r="H289" s="4">
        <f t="shared" si="3"/>
        <v>442.75</v>
      </c>
      <c r="I289" s="5">
        <v>28.0</v>
      </c>
      <c r="J289" s="5">
        <v>497625.0</v>
      </c>
      <c r="K289" s="6">
        <f t="shared" si="4"/>
        <v>40.14075986</v>
      </c>
    </row>
    <row r="290" ht="17.25" customHeight="1">
      <c r="B290" s="3" t="s">
        <v>298</v>
      </c>
      <c r="C290" s="4">
        <v>32175.0</v>
      </c>
      <c r="D290" s="5">
        <v>371.0</v>
      </c>
      <c r="E290" s="5">
        <v>30.0</v>
      </c>
      <c r="F290" s="6">
        <f t="shared" si="1"/>
        <v>0.08086253369</v>
      </c>
      <c r="G290" s="4">
        <f t="shared" si="2"/>
        <v>1072.5</v>
      </c>
      <c r="H290" s="4">
        <f t="shared" si="3"/>
        <v>2925</v>
      </c>
      <c r="I290" s="5">
        <v>11.0</v>
      </c>
      <c r="J290" s="5">
        <v>185010.0</v>
      </c>
      <c r="K290" s="6">
        <f t="shared" si="4"/>
        <v>5.75011655</v>
      </c>
    </row>
    <row r="291" ht="17.25" customHeight="1">
      <c r="B291" s="3" t="s">
        <v>299</v>
      </c>
      <c r="C291" s="4">
        <v>9124610.0</v>
      </c>
      <c r="D291" s="5">
        <v>111962.0</v>
      </c>
      <c r="E291" s="5">
        <v>1882.0</v>
      </c>
      <c r="F291" s="6">
        <f t="shared" si="1"/>
        <v>0.01680927458</v>
      </c>
      <c r="G291" s="4">
        <f t="shared" si="2"/>
        <v>4848.35813</v>
      </c>
      <c r="H291" s="4">
        <f t="shared" si="3"/>
        <v>25996.03989</v>
      </c>
      <c r="I291" s="5">
        <v>351.0</v>
      </c>
      <c r="J291" s="5">
        <v>1.4026549E7</v>
      </c>
      <c r="K291" s="6">
        <f t="shared" si="4"/>
        <v>1.537221755</v>
      </c>
    </row>
    <row r="292" ht="17.25" customHeight="1">
      <c r="B292" s="3" t="s">
        <v>300</v>
      </c>
      <c r="C292" s="4">
        <v>15268.0</v>
      </c>
      <c r="D292" s="5">
        <v>109.0</v>
      </c>
      <c r="E292" s="5">
        <v>12.0</v>
      </c>
      <c r="F292" s="6">
        <f t="shared" si="1"/>
        <v>0.1100917431</v>
      </c>
      <c r="G292" s="4">
        <f t="shared" si="2"/>
        <v>1272.333333</v>
      </c>
      <c r="H292" s="4">
        <f t="shared" si="3"/>
        <v>0</v>
      </c>
      <c r="I292" s="5">
        <v>0.0</v>
      </c>
      <c r="J292" s="5">
        <v>0.0</v>
      </c>
      <c r="K292" s="6">
        <f t="shared" si="4"/>
        <v>0</v>
      </c>
    </row>
    <row r="293" ht="17.25" customHeight="1">
      <c r="B293" s="3" t="s">
        <v>301</v>
      </c>
      <c r="C293" s="4">
        <v>5401.0</v>
      </c>
      <c r="D293" s="5">
        <v>170.0</v>
      </c>
      <c r="E293" s="5">
        <v>6.0</v>
      </c>
      <c r="F293" s="6">
        <f t="shared" si="1"/>
        <v>0.03529411765</v>
      </c>
      <c r="G293" s="4">
        <f t="shared" si="2"/>
        <v>900.1666667</v>
      </c>
      <c r="H293" s="4">
        <f t="shared" si="3"/>
        <v>0</v>
      </c>
      <c r="I293" s="5">
        <v>0.0</v>
      </c>
      <c r="J293" s="5">
        <v>0.0</v>
      </c>
      <c r="K293" s="6">
        <f t="shared" si="4"/>
        <v>0</v>
      </c>
    </row>
    <row r="294" ht="17.25" customHeight="1">
      <c r="B294" s="3" t="s">
        <v>302</v>
      </c>
      <c r="C294" s="4">
        <v>113509.0</v>
      </c>
      <c r="D294" s="5">
        <v>3051.0</v>
      </c>
      <c r="E294" s="5">
        <v>76.0</v>
      </c>
      <c r="F294" s="6">
        <f t="shared" si="1"/>
        <v>0.02490986562</v>
      </c>
      <c r="G294" s="4">
        <f t="shared" si="2"/>
        <v>1493.539474</v>
      </c>
      <c r="H294" s="4">
        <f t="shared" si="3"/>
        <v>0</v>
      </c>
      <c r="I294" s="5">
        <v>0.0</v>
      </c>
      <c r="J294" s="5">
        <v>0.0</v>
      </c>
      <c r="K294" s="6">
        <f t="shared" si="4"/>
        <v>0</v>
      </c>
    </row>
    <row r="295" ht="17.25" customHeight="1">
      <c r="B295" s="3" t="s">
        <v>303</v>
      </c>
      <c r="C295" s="4">
        <v>550.0</v>
      </c>
      <c r="D295" s="5">
        <v>4.0</v>
      </c>
      <c r="E295" s="5">
        <v>1.0</v>
      </c>
      <c r="F295" s="6">
        <f t="shared" si="1"/>
        <v>0.25</v>
      </c>
      <c r="G295" s="4">
        <f t="shared" si="2"/>
        <v>550</v>
      </c>
      <c r="H295" s="4">
        <f t="shared" si="3"/>
        <v>0</v>
      </c>
      <c r="I295" s="5">
        <v>0.0</v>
      </c>
      <c r="J295" s="5">
        <v>0.0</v>
      </c>
      <c r="K295" s="6">
        <f t="shared" si="4"/>
        <v>0</v>
      </c>
    </row>
    <row r="296" ht="17.25" customHeight="1">
      <c r="B296" s="3" t="s">
        <v>304</v>
      </c>
      <c r="C296" s="4">
        <v>869.0</v>
      </c>
      <c r="D296" s="5">
        <v>2.0</v>
      </c>
      <c r="E296" s="5">
        <v>1.0</v>
      </c>
      <c r="F296" s="6">
        <f t="shared" si="1"/>
        <v>0.5</v>
      </c>
      <c r="G296" s="4">
        <f t="shared" si="2"/>
        <v>869</v>
      </c>
      <c r="H296" s="4">
        <f t="shared" si="3"/>
        <v>0</v>
      </c>
      <c r="I296" s="5">
        <v>0.0</v>
      </c>
      <c r="J296" s="5">
        <v>0.0</v>
      </c>
      <c r="K296" s="6">
        <f t="shared" si="4"/>
        <v>0</v>
      </c>
    </row>
    <row r="297" ht="17.25" customHeight="1">
      <c r="B297" s="3" t="s">
        <v>305</v>
      </c>
      <c r="C297" s="4">
        <v>173316.0</v>
      </c>
      <c r="D297" s="5">
        <v>6468.0</v>
      </c>
      <c r="E297" s="5">
        <v>81.0</v>
      </c>
      <c r="F297" s="6">
        <f t="shared" si="1"/>
        <v>0.01252319109</v>
      </c>
      <c r="G297" s="4">
        <f t="shared" si="2"/>
        <v>2139.703704</v>
      </c>
      <c r="H297" s="4">
        <f t="shared" si="3"/>
        <v>43329</v>
      </c>
      <c r="I297" s="5">
        <v>4.0</v>
      </c>
      <c r="J297" s="5">
        <v>0.0</v>
      </c>
      <c r="K297" s="6">
        <f t="shared" si="4"/>
        <v>0</v>
      </c>
    </row>
    <row r="298" ht="17.25" customHeight="1">
      <c r="B298" s="3" t="s">
        <v>306</v>
      </c>
      <c r="C298" s="4">
        <v>39061.0</v>
      </c>
      <c r="D298" s="5">
        <v>2276.0</v>
      </c>
      <c r="E298" s="5">
        <v>19.0</v>
      </c>
      <c r="F298" s="6">
        <f t="shared" si="1"/>
        <v>0.00834797891</v>
      </c>
      <c r="G298" s="4">
        <f t="shared" si="2"/>
        <v>2055.842105</v>
      </c>
      <c r="H298" s="4">
        <f t="shared" si="3"/>
        <v>4882.625</v>
      </c>
      <c r="I298" s="5">
        <v>8.0</v>
      </c>
      <c r="J298" s="5">
        <v>1541561.0</v>
      </c>
      <c r="K298" s="6">
        <f t="shared" si="4"/>
        <v>39.46547707</v>
      </c>
    </row>
    <row r="299" ht="17.25" customHeight="1">
      <c r="B299" s="3" t="s">
        <v>307</v>
      </c>
      <c r="C299" s="4">
        <v>20185.0</v>
      </c>
      <c r="D299" s="5">
        <v>1596.0</v>
      </c>
      <c r="E299" s="5">
        <v>17.0</v>
      </c>
      <c r="F299" s="6">
        <f t="shared" si="1"/>
        <v>0.01065162907</v>
      </c>
      <c r="G299" s="4">
        <f t="shared" si="2"/>
        <v>1187.352941</v>
      </c>
      <c r="H299" s="4">
        <f t="shared" si="3"/>
        <v>0</v>
      </c>
      <c r="I299" s="5">
        <v>0.0</v>
      </c>
      <c r="J299" s="5">
        <v>0.0</v>
      </c>
      <c r="K299" s="6">
        <f t="shared" si="4"/>
        <v>0</v>
      </c>
    </row>
    <row r="300" ht="17.25" customHeight="1">
      <c r="B300" s="3" t="s">
        <v>308</v>
      </c>
      <c r="C300" s="4">
        <v>27698.0</v>
      </c>
      <c r="D300" s="5">
        <v>565.0</v>
      </c>
      <c r="E300" s="5">
        <v>18.0</v>
      </c>
      <c r="F300" s="6">
        <f t="shared" si="1"/>
        <v>0.03185840708</v>
      </c>
      <c r="G300" s="4">
        <f t="shared" si="2"/>
        <v>1538.777778</v>
      </c>
      <c r="H300" s="4">
        <f t="shared" si="3"/>
        <v>0</v>
      </c>
      <c r="I300" s="5">
        <v>0.0</v>
      </c>
      <c r="J300" s="5">
        <v>0.0</v>
      </c>
      <c r="K300" s="6">
        <f t="shared" si="4"/>
        <v>0</v>
      </c>
    </row>
    <row r="301" ht="17.25" customHeight="1">
      <c r="B301" s="3" t="s">
        <v>309</v>
      </c>
      <c r="C301" s="4">
        <v>41745.0</v>
      </c>
      <c r="D301" s="5">
        <v>2027.0</v>
      </c>
      <c r="E301" s="5">
        <v>35.0</v>
      </c>
      <c r="F301" s="6">
        <f t="shared" si="1"/>
        <v>0.01726689689</v>
      </c>
      <c r="G301" s="4">
        <f t="shared" si="2"/>
        <v>1192.714286</v>
      </c>
      <c r="H301" s="4">
        <f t="shared" si="3"/>
        <v>5218.125</v>
      </c>
      <c r="I301" s="5">
        <v>8.0</v>
      </c>
      <c r="J301" s="5">
        <v>88007.0</v>
      </c>
      <c r="K301" s="6">
        <f t="shared" si="4"/>
        <v>2.108204575</v>
      </c>
    </row>
    <row r="302" ht="17.25" customHeight="1">
      <c r="B302" s="3" t="s">
        <v>310</v>
      </c>
      <c r="C302" s="4">
        <v>17237.0</v>
      </c>
      <c r="D302" s="5">
        <v>110.0</v>
      </c>
      <c r="E302" s="5">
        <v>8.0</v>
      </c>
      <c r="F302" s="6">
        <f t="shared" si="1"/>
        <v>0.07272727273</v>
      </c>
      <c r="G302" s="4">
        <f t="shared" si="2"/>
        <v>2154.625</v>
      </c>
      <c r="H302" s="4">
        <f t="shared" si="3"/>
        <v>4309.25</v>
      </c>
      <c r="I302" s="5">
        <v>4.0</v>
      </c>
      <c r="J302" s="5">
        <v>155003.0</v>
      </c>
      <c r="K302" s="6">
        <f t="shared" si="4"/>
        <v>8.992458084</v>
      </c>
    </row>
    <row r="303" ht="17.25" customHeight="1">
      <c r="B303" s="3" t="s">
        <v>311</v>
      </c>
      <c r="C303" s="4">
        <v>12386.0</v>
      </c>
      <c r="D303" s="5">
        <v>83.0</v>
      </c>
      <c r="E303" s="5">
        <v>6.0</v>
      </c>
      <c r="F303" s="6">
        <f t="shared" si="1"/>
        <v>0.07228915663</v>
      </c>
      <c r="G303" s="4">
        <f t="shared" si="2"/>
        <v>2064.333333</v>
      </c>
      <c r="H303" s="4">
        <f t="shared" si="3"/>
        <v>4128.666667</v>
      </c>
      <c r="I303" s="5">
        <v>3.0</v>
      </c>
      <c r="J303" s="5">
        <v>0.0</v>
      </c>
      <c r="K303" s="6">
        <f t="shared" si="4"/>
        <v>0</v>
      </c>
    </row>
    <row r="304" ht="17.25" customHeight="1">
      <c r="B304" s="3" t="s">
        <v>312</v>
      </c>
      <c r="C304" s="4">
        <v>104984.0</v>
      </c>
      <c r="D304" s="5">
        <v>3044.0</v>
      </c>
      <c r="E304" s="5">
        <v>58.0</v>
      </c>
      <c r="F304" s="6">
        <f t="shared" si="1"/>
        <v>0.01905387648</v>
      </c>
      <c r="G304" s="4">
        <f t="shared" si="2"/>
        <v>1810.068966</v>
      </c>
      <c r="H304" s="4">
        <f t="shared" si="3"/>
        <v>5525.473684</v>
      </c>
      <c r="I304" s="5">
        <v>19.0</v>
      </c>
      <c r="J304" s="5">
        <v>375716.0</v>
      </c>
      <c r="K304" s="6">
        <f t="shared" si="4"/>
        <v>3.578792959</v>
      </c>
    </row>
    <row r="305" ht="17.25" customHeight="1">
      <c r="B305" s="3" t="s">
        <v>313</v>
      </c>
      <c r="C305" s="4">
        <v>56419.0</v>
      </c>
      <c r="D305" s="5">
        <v>2728.0</v>
      </c>
      <c r="E305" s="5">
        <v>32.0</v>
      </c>
      <c r="F305" s="6">
        <f t="shared" si="1"/>
        <v>0.01173020528</v>
      </c>
      <c r="G305" s="4">
        <f t="shared" si="2"/>
        <v>1763.09375</v>
      </c>
      <c r="H305" s="4">
        <f t="shared" si="3"/>
        <v>0</v>
      </c>
      <c r="I305" s="5">
        <v>0.0</v>
      </c>
      <c r="J305" s="5">
        <v>0.0</v>
      </c>
      <c r="K305" s="6">
        <f t="shared" si="4"/>
        <v>0</v>
      </c>
    </row>
    <row r="306" ht="17.25" customHeight="1">
      <c r="B306" s="3" t="s">
        <v>314</v>
      </c>
      <c r="C306" s="4">
        <v>21769.0</v>
      </c>
      <c r="D306" s="5">
        <v>1544.0</v>
      </c>
      <c r="E306" s="5">
        <v>16.0</v>
      </c>
      <c r="F306" s="6">
        <f t="shared" si="1"/>
        <v>0.0103626943</v>
      </c>
      <c r="G306" s="4">
        <f t="shared" si="2"/>
        <v>1360.5625</v>
      </c>
      <c r="H306" s="4">
        <f t="shared" si="3"/>
        <v>0</v>
      </c>
      <c r="I306" s="5">
        <v>0.0</v>
      </c>
      <c r="J306" s="5">
        <v>0.0</v>
      </c>
      <c r="K306" s="6">
        <f t="shared" si="4"/>
        <v>0</v>
      </c>
    </row>
    <row r="307" ht="17.25" customHeight="1">
      <c r="B307" s="3" t="s">
        <v>315</v>
      </c>
      <c r="C307" s="4">
        <v>451.0</v>
      </c>
      <c r="D307" s="5">
        <v>5.0</v>
      </c>
      <c r="E307" s="5">
        <v>1.0</v>
      </c>
      <c r="F307" s="6">
        <f t="shared" si="1"/>
        <v>0.2</v>
      </c>
      <c r="G307" s="4">
        <f t="shared" si="2"/>
        <v>451</v>
      </c>
      <c r="H307" s="4">
        <f t="shared" si="3"/>
        <v>0</v>
      </c>
      <c r="I307" s="5">
        <v>0.0</v>
      </c>
      <c r="J307" s="5">
        <v>0.0</v>
      </c>
      <c r="K307" s="6">
        <f t="shared" si="4"/>
        <v>0</v>
      </c>
    </row>
    <row r="308" ht="17.25" customHeight="1">
      <c r="B308" s="3" t="s">
        <v>316</v>
      </c>
      <c r="C308" s="4">
        <v>4081.0</v>
      </c>
      <c r="D308" s="5">
        <v>107.0</v>
      </c>
      <c r="E308" s="5">
        <v>5.0</v>
      </c>
      <c r="F308" s="6">
        <f t="shared" si="1"/>
        <v>0.04672897196</v>
      </c>
      <c r="G308" s="4">
        <f t="shared" si="2"/>
        <v>816.2</v>
      </c>
      <c r="H308" s="4">
        <f t="shared" si="3"/>
        <v>0</v>
      </c>
      <c r="I308" s="5">
        <v>0.0</v>
      </c>
      <c r="J308" s="5">
        <v>0.0</v>
      </c>
      <c r="K308" s="6">
        <f t="shared" si="4"/>
        <v>0</v>
      </c>
    </row>
    <row r="309" ht="17.25" customHeight="1">
      <c r="B309" s="3" t="s">
        <v>317</v>
      </c>
      <c r="C309" s="4">
        <v>182622.0</v>
      </c>
      <c r="D309" s="5">
        <v>7869.0</v>
      </c>
      <c r="E309" s="5">
        <v>120.0</v>
      </c>
      <c r="F309" s="6">
        <f t="shared" si="1"/>
        <v>0.01524971407</v>
      </c>
      <c r="G309" s="4">
        <f t="shared" si="2"/>
        <v>1521.85</v>
      </c>
      <c r="H309" s="4">
        <f t="shared" si="3"/>
        <v>36524.4</v>
      </c>
      <c r="I309" s="5">
        <v>5.0</v>
      </c>
      <c r="J309" s="5">
        <v>2659845.0</v>
      </c>
      <c r="K309" s="6">
        <f t="shared" si="4"/>
        <v>14.56475671</v>
      </c>
    </row>
    <row r="310" ht="17.25" customHeight="1">
      <c r="B310" s="3" t="s">
        <v>318</v>
      </c>
      <c r="C310" s="4">
        <v>5060.0</v>
      </c>
      <c r="D310" s="5">
        <v>151.0</v>
      </c>
      <c r="E310" s="5">
        <v>4.0</v>
      </c>
      <c r="F310" s="6">
        <f t="shared" si="1"/>
        <v>0.02649006623</v>
      </c>
      <c r="G310" s="4">
        <f t="shared" si="2"/>
        <v>1265</v>
      </c>
      <c r="H310" s="4">
        <f t="shared" si="3"/>
        <v>0</v>
      </c>
      <c r="I310" s="5">
        <v>0.0</v>
      </c>
      <c r="J310" s="5">
        <v>0.0</v>
      </c>
      <c r="K310" s="6">
        <f t="shared" si="4"/>
        <v>0</v>
      </c>
    </row>
    <row r="311" ht="17.25" customHeight="1">
      <c r="B311" s="3" t="s">
        <v>319</v>
      </c>
      <c r="C311" s="4">
        <v>1276.0</v>
      </c>
      <c r="D311" s="5">
        <v>23.0</v>
      </c>
      <c r="E311" s="5">
        <v>1.0</v>
      </c>
      <c r="F311" s="6">
        <f t="shared" si="1"/>
        <v>0.04347826087</v>
      </c>
      <c r="G311" s="4">
        <f t="shared" si="2"/>
        <v>1276</v>
      </c>
      <c r="H311" s="4">
        <f t="shared" si="3"/>
        <v>0</v>
      </c>
      <c r="I311" s="5">
        <v>0.0</v>
      </c>
      <c r="J311" s="5">
        <v>0.0</v>
      </c>
      <c r="K311" s="6">
        <f t="shared" si="4"/>
        <v>0</v>
      </c>
    </row>
    <row r="312" ht="17.25" customHeight="1">
      <c r="B312" s="3" t="s">
        <v>320</v>
      </c>
      <c r="C312" s="4">
        <v>264.0</v>
      </c>
      <c r="D312" s="5">
        <v>3.0</v>
      </c>
      <c r="E312" s="5">
        <v>1.0</v>
      </c>
      <c r="F312" s="6">
        <f t="shared" si="1"/>
        <v>0.3333333333</v>
      </c>
      <c r="G312" s="4">
        <f t="shared" si="2"/>
        <v>264</v>
      </c>
      <c r="H312" s="4">
        <f t="shared" si="3"/>
        <v>0</v>
      </c>
      <c r="I312" s="5">
        <v>0.0</v>
      </c>
      <c r="J312" s="5">
        <v>0.0</v>
      </c>
      <c r="K312" s="6">
        <f t="shared" si="4"/>
        <v>0</v>
      </c>
    </row>
    <row r="313" ht="17.25" customHeight="1">
      <c r="B313" s="3" t="s">
        <v>321</v>
      </c>
      <c r="C313" s="4">
        <v>1012.0</v>
      </c>
      <c r="D313" s="5">
        <v>5.0</v>
      </c>
      <c r="E313" s="5">
        <v>1.0</v>
      </c>
      <c r="F313" s="6">
        <f t="shared" si="1"/>
        <v>0.2</v>
      </c>
      <c r="G313" s="4">
        <f t="shared" si="2"/>
        <v>1012</v>
      </c>
      <c r="H313" s="4">
        <f t="shared" si="3"/>
        <v>0</v>
      </c>
      <c r="I313" s="5">
        <v>0.0</v>
      </c>
      <c r="J313" s="5">
        <v>0.0</v>
      </c>
      <c r="K313" s="6">
        <f t="shared" si="4"/>
        <v>0</v>
      </c>
    </row>
    <row r="314" ht="17.25" customHeight="1">
      <c r="B314" s="3" t="s">
        <v>322</v>
      </c>
      <c r="C314" s="4">
        <v>27434.0</v>
      </c>
      <c r="D314" s="5">
        <v>192.0</v>
      </c>
      <c r="E314" s="5">
        <v>19.0</v>
      </c>
      <c r="F314" s="6">
        <f t="shared" si="1"/>
        <v>0.09895833333</v>
      </c>
      <c r="G314" s="4">
        <f t="shared" si="2"/>
        <v>1443.894737</v>
      </c>
      <c r="H314" s="4">
        <f t="shared" si="3"/>
        <v>0</v>
      </c>
      <c r="I314" s="5">
        <v>0.0</v>
      </c>
      <c r="J314" s="5">
        <v>0.0</v>
      </c>
      <c r="K314" s="6">
        <f t="shared" si="4"/>
        <v>0</v>
      </c>
    </row>
    <row r="315" ht="17.25" customHeight="1">
      <c r="B315" s="3" t="s">
        <v>323</v>
      </c>
      <c r="C315" s="4">
        <v>75372.0</v>
      </c>
      <c r="D315" s="5">
        <v>6379.0</v>
      </c>
      <c r="E315" s="5">
        <v>42.0</v>
      </c>
      <c r="F315" s="6">
        <f t="shared" si="1"/>
        <v>0.006584104092</v>
      </c>
      <c r="G315" s="4">
        <f t="shared" si="2"/>
        <v>1794.571429</v>
      </c>
      <c r="H315" s="4">
        <f t="shared" si="3"/>
        <v>37686</v>
      </c>
      <c r="I315" s="5">
        <v>2.0</v>
      </c>
      <c r="J315" s="5">
        <v>0.0</v>
      </c>
      <c r="K315" s="6">
        <f t="shared" si="4"/>
        <v>0</v>
      </c>
    </row>
    <row r="316" ht="17.25" customHeight="1">
      <c r="B316" s="3" t="s">
        <v>324</v>
      </c>
      <c r="C316" s="4">
        <v>84381.0</v>
      </c>
      <c r="D316" s="5">
        <v>3583.0</v>
      </c>
      <c r="E316" s="5">
        <v>49.0</v>
      </c>
      <c r="F316" s="6">
        <f t="shared" si="1"/>
        <v>0.01367569076</v>
      </c>
      <c r="G316" s="4">
        <f t="shared" si="2"/>
        <v>1722.061224</v>
      </c>
      <c r="H316" s="4">
        <f t="shared" si="3"/>
        <v>0</v>
      </c>
      <c r="I316" s="5">
        <v>0.0</v>
      </c>
      <c r="J316" s="5">
        <v>0.0</v>
      </c>
      <c r="K316" s="6">
        <f t="shared" si="4"/>
        <v>0</v>
      </c>
    </row>
    <row r="317" ht="17.25" customHeight="1">
      <c r="B317" s="3" t="s">
        <v>325</v>
      </c>
      <c r="C317" s="4">
        <v>8085.0</v>
      </c>
      <c r="D317" s="5">
        <v>585.0</v>
      </c>
      <c r="E317" s="5">
        <v>13.0</v>
      </c>
      <c r="F317" s="6">
        <f t="shared" si="1"/>
        <v>0.02222222222</v>
      </c>
      <c r="G317" s="4">
        <f t="shared" si="2"/>
        <v>621.9230769</v>
      </c>
      <c r="H317" s="4">
        <f t="shared" si="3"/>
        <v>0</v>
      </c>
      <c r="I317" s="5">
        <v>0.0</v>
      </c>
      <c r="J317" s="5">
        <v>0.0</v>
      </c>
      <c r="K317" s="6">
        <f t="shared" si="4"/>
        <v>0</v>
      </c>
    </row>
    <row r="318" ht="17.25" customHeight="1">
      <c r="B318" s="3" t="s">
        <v>326</v>
      </c>
      <c r="C318" s="4">
        <v>7546.0</v>
      </c>
      <c r="D318" s="5">
        <v>44.0</v>
      </c>
      <c r="E318" s="5">
        <v>4.0</v>
      </c>
      <c r="F318" s="6">
        <f t="shared" si="1"/>
        <v>0.09090909091</v>
      </c>
      <c r="G318" s="4">
        <f t="shared" si="2"/>
        <v>1886.5</v>
      </c>
      <c r="H318" s="4">
        <f t="shared" si="3"/>
        <v>0</v>
      </c>
      <c r="I318" s="5">
        <v>0.0</v>
      </c>
      <c r="J318" s="5">
        <v>0.0</v>
      </c>
      <c r="K318" s="6">
        <f t="shared" si="4"/>
        <v>0</v>
      </c>
    </row>
    <row r="319" ht="17.25" customHeight="1">
      <c r="B319" s="3" t="s">
        <v>327</v>
      </c>
      <c r="C319" s="4">
        <v>2068.0</v>
      </c>
      <c r="D319" s="5">
        <v>7.0</v>
      </c>
      <c r="E319" s="5">
        <v>1.0</v>
      </c>
      <c r="F319" s="6">
        <f t="shared" si="1"/>
        <v>0.1428571429</v>
      </c>
      <c r="G319" s="4">
        <f t="shared" si="2"/>
        <v>2068</v>
      </c>
      <c r="H319" s="4">
        <f t="shared" si="3"/>
        <v>0</v>
      </c>
      <c r="I319" s="5">
        <v>0.0</v>
      </c>
      <c r="J319" s="5">
        <v>0.0</v>
      </c>
      <c r="K319" s="6">
        <f t="shared" si="4"/>
        <v>0</v>
      </c>
    </row>
    <row r="320" ht="17.25" customHeight="1">
      <c r="B320" s="3" t="s">
        <v>328</v>
      </c>
      <c r="C320" s="4">
        <v>14762.0</v>
      </c>
      <c r="D320" s="5">
        <v>330.0</v>
      </c>
      <c r="E320" s="5">
        <v>18.0</v>
      </c>
      <c r="F320" s="6">
        <f t="shared" si="1"/>
        <v>0.05454545455</v>
      </c>
      <c r="G320" s="4">
        <f t="shared" si="2"/>
        <v>820.1111111</v>
      </c>
      <c r="H320" s="4">
        <f t="shared" si="3"/>
        <v>3690.5</v>
      </c>
      <c r="I320" s="5">
        <v>4.0</v>
      </c>
      <c r="J320" s="5">
        <v>66003.0</v>
      </c>
      <c r="K320" s="6">
        <f t="shared" si="4"/>
        <v>4.471142122</v>
      </c>
    </row>
    <row r="321" ht="17.25" customHeight="1">
      <c r="B321" s="3" t="s">
        <v>329</v>
      </c>
      <c r="C321" s="4">
        <v>935.0</v>
      </c>
      <c r="D321" s="5">
        <v>1.0</v>
      </c>
      <c r="E321" s="5">
        <v>1.0</v>
      </c>
      <c r="F321" s="6">
        <f t="shared" si="1"/>
        <v>1</v>
      </c>
      <c r="G321" s="4">
        <f t="shared" si="2"/>
        <v>935</v>
      </c>
      <c r="H321" s="4">
        <f t="shared" si="3"/>
        <v>0</v>
      </c>
      <c r="I321" s="5">
        <v>0.0</v>
      </c>
      <c r="J321" s="5">
        <v>0.0</v>
      </c>
      <c r="K321" s="6">
        <f t="shared" si="4"/>
        <v>0</v>
      </c>
    </row>
    <row r="322" ht="17.25" customHeight="1">
      <c r="B322" s="3" t="s">
        <v>330</v>
      </c>
      <c r="C322" s="4">
        <v>3828.0</v>
      </c>
      <c r="D322" s="5">
        <v>20.0</v>
      </c>
      <c r="E322" s="5">
        <v>3.0</v>
      </c>
      <c r="F322" s="6">
        <f t="shared" si="1"/>
        <v>0.15</v>
      </c>
      <c r="G322" s="4">
        <f t="shared" si="2"/>
        <v>1276</v>
      </c>
      <c r="H322" s="4">
        <f t="shared" si="3"/>
        <v>0</v>
      </c>
      <c r="I322" s="5">
        <v>0.0</v>
      </c>
      <c r="J322" s="5">
        <v>0.0</v>
      </c>
      <c r="K322" s="6">
        <f t="shared" si="4"/>
        <v>0</v>
      </c>
    </row>
    <row r="323" ht="17.25" customHeight="1">
      <c r="B323" s="3" t="s">
        <v>331</v>
      </c>
      <c r="C323" s="4">
        <v>748.0</v>
      </c>
      <c r="D323" s="5">
        <v>1.0</v>
      </c>
      <c r="E323" s="5">
        <v>1.0</v>
      </c>
      <c r="F323" s="6">
        <f t="shared" si="1"/>
        <v>1</v>
      </c>
      <c r="G323" s="4">
        <f t="shared" si="2"/>
        <v>748</v>
      </c>
      <c r="H323" s="4">
        <f t="shared" si="3"/>
        <v>0</v>
      </c>
      <c r="I323" s="5">
        <v>0.0</v>
      </c>
      <c r="J323" s="5">
        <v>0.0</v>
      </c>
      <c r="K323" s="6">
        <f t="shared" si="4"/>
        <v>0</v>
      </c>
    </row>
    <row r="324" ht="17.25" customHeight="1">
      <c r="B324" s="3" t="s">
        <v>332</v>
      </c>
      <c r="C324" s="4">
        <v>19459.0</v>
      </c>
      <c r="D324" s="5">
        <v>300.0</v>
      </c>
      <c r="E324" s="5">
        <v>12.0</v>
      </c>
      <c r="F324" s="6">
        <f t="shared" si="1"/>
        <v>0.04</v>
      </c>
      <c r="G324" s="4">
        <f t="shared" si="2"/>
        <v>1621.583333</v>
      </c>
      <c r="H324" s="4">
        <f t="shared" si="3"/>
        <v>0</v>
      </c>
      <c r="I324" s="5">
        <v>0.0</v>
      </c>
      <c r="J324" s="5">
        <v>0.0</v>
      </c>
      <c r="K324" s="6">
        <f t="shared" si="4"/>
        <v>0</v>
      </c>
    </row>
    <row r="325" ht="17.25" customHeight="1">
      <c r="B325" s="3" t="s">
        <v>333</v>
      </c>
      <c r="C325" s="4">
        <v>28523.0</v>
      </c>
      <c r="D325" s="5">
        <v>216.0</v>
      </c>
      <c r="E325" s="5">
        <v>10.0</v>
      </c>
      <c r="F325" s="6">
        <f t="shared" si="1"/>
        <v>0.0462962963</v>
      </c>
      <c r="G325" s="4">
        <f t="shared" si="2"/>
        <v>2852.3</v>
      </c>
      <c r="H325" s="4">
        <f t="shared" si="3"/>
        <v>0</v>
      </c>
      <c r="I325" s="5">
        <v>0.0</v>
      </c>
      <c r="J325" s="5">
        <v>0.0</v>
      </c>
      <c r="K325" s="6">
        <f t="shared" si="4"/>
        <v>0</v>
      </c>
    </row>
    <row r="326" ht="17.25" customHeight="1">
      <c r="B326" s="3" t="s">
        <v>334</v>
      </c>
      <c r="C326" s="4">
        <v>39413.0</v>
      </c>
      <c r="D326" s="5">
        <v>3421.0</v>
      </c>
      <c r="E326" s="5">
        <v>21.0</v>
      </c>
      <c r="F326" s="6">
        <f t="shared" si="1"/>
        <v>0.006138555978</v>
      </c>
      <c r="G326" s="4">
        <f t="shared" si="2"/>
        <v>1876.809524</v>
      </c>
      <c r="H326" s="4">
        <f t="shared" si="3"/>
        <v>0</v>
      </c>
      <c r="I326" s="5">
        <v>0.0</v>
      </c>
      <c r="J326" s="5">
        <v>0.0</v>
      </c>
      <c r="K326" s="6">
        <f t="shared" si="4"/>
        <v>0</v>
      </c>
    </row>
    <row r="327" ht="17.25" customHeight="1">
      <c r="B327" s="3" t="s">
        <v>335</v>
      </c>
      <c r="C327" s="4">
        <v>3245.0</v>
      </c>
      <c r="D327" s="5">
        <v>6.0</v>
      </c>
      <c r="E327" s="5">
        <v>2.0</v>
      </c>
      <c r="F327" s="6">
        <f t="shared" si="1"/>
        <v>0.3333333333</v>
      </c>
      <c r="G327" s="4">
        <f t="shared" si="2"/>
        <v>1622.5</v>
      </c>
      <c r="H327" s="4">
        <f t="shared" si="3"/>
        <v>0</v>
      </c>
      <c r="I327" s="5">
        <v>0.0</v>
      </c>
      <c r="J327" s="5">
        <v>0.0</v>
      </c>
      <c r="K327" s="6">
        <f t="shared" si="4"/>
        <v>0</v>
      </c>
    </row>
    <row r="328" ht="17.25" customHeight="1">
      <c r="B328" s="3" t="s">
        <v>336</v>
      </c>
      <c r="C328" s="4">
        <v>188089.0</v>
      </c>
      <c r="D328" s="5">
        <v>7259.0</v>
      </c>
      <c r="E328" s="5">
        <v>116.0</v>
      </c>
      <c r="F328" s="6">
        <f t="shared" si="1"/>
        <v>0.01598016256</v>
      </c>
      <c r="G328" s="4">
        <f t="shared" si="2"/>
        <v>1621.456897</v>
      </c>
      <c r="H328" s="4">
        <f t="shared" si="3"/>
        <v>37617.8</v>
      </c>
      <c r="I328" s="5">
        <v>5.0</v>
      </c>
      <c r="J328" s="5">
        <v>0.0</v>
      </c>
      <c r="K328" s="6">
        <f t="shared" si="4"/>
        <v>0</v>
      </c>
    </row>
    <row r="329" ht="17.25" customHeight="1">
      <c r="B329" s="3" t="s">
        <v>337</v>
      </c>
      <c r="C329" s="4">
        <v>45716.0</v>
      </c>
      <c r="D329" s="5">
        <v>3423.0</v>
      </c>
      <c r="E329" s="5">
        <v>47.0</v>
      </c>
      <c r="F329" s="6">
        <f t="shared" si="1"/>
        <v>0.01373064563</v>
      </c>
      <c r="G329" s="4">
        <f t="shared" si="2"/>
        <v>972.6808511</v>
      </c>
      <c r="H329" s="4">
        <f t="shared" si="3"/>
        <v>22858</v>
      </c>
      <c r="I329" s="5">
        <v>2.0</v>
      </c>
      <c r="J329" s="5">
        <v>0.0</v>
      </c>
      <c r="K329" s="6">
        <f t="shared" si="4"/>
        <v>0</v>
      </c>
    </row>
    <row r="330" ht="17.25" customHeight="1">
      <c r="B330" s="3" t="s">
        <v>338</v>
      </c>
      <c r="C330" s="4">
        <v>122936.0</v>
      </c>
      <c r="D330" s="5">
        <v>1991.0</v>
      </c>
      <c r="E330" s="5">
        <v>47.0</v>
      </c>
      <c r="F330" s="6">
        <f t="shared" si="1"/>
        <v>0.02360622803</v>
      </c>
      <c r="G330" s="4">
        <f t="shared" si="2"/>
        <v>2615.659574</v>
      </c>
      <c r="H330" s="4">
        <f t="shared" si="3"/>
        <v>3965.677419</v>
      </c>
      <c r="I330" s="5">
        <v>31.0</v>
      </c>
      <c r="J330" s="5">
        <v>941226.0</v>
      </c>
      <c r="K330" s="6">
        <f t="shared" si="4"/>
        <v>7.656227631</v>
      </c>
    </row>
    <row r="331" ht="17.25" customHeight="1">
      <c r="B331" s="3" t="s">
        <v>339</v>
      </c>
      <c r="C331" s="4">
        <v>2469720.0</v>
      </c>
      <c r="D331" s="5">
        <v>43924.0</v>
      </c>
      <c r="E331" s="5">
        <v>534.0</v>
      </c>
      <c r="F331" s="6">
        <f t="shared" si="1"/>
        <v>0.01215736272</v>
      </c>
      <c r="G331" s="4">
        <f t="shared" si="2"/>
        <v>4624.94382</v>
      </c>
      <c r="H331" s="4">
        <f t="shared" si="3"/>
        <v>18294.22222</v>
      </c>
      <c r="I331" s="5">
        <v>135.0</v>
      </c>
      <c r="J331" s="5">
        <v>6785230.0</v>
      </c>
      <c r="K331" s="6">
        <f t="shared" si="4"/>
        <v>2.747368123</v>
      </c>
    </row>
    <row r="332" ht="17.25" customHeight="1">
      <c r="B332" s="3" t="s">
        <v>340</v>
      </c>
      <c r="C332" s="4">
        <v>12672.0</v>
      </c>
      <c r="D332" s="5">
        <v>168.0</v>
      </c>
      <c r="E332" s="5">
        <v>7.0</v>
      </c>
      <c r="F332" s="6">
        <f t="shared" si="1"/>
        <v>0.04166666667</v>
      </c>
      <c r="G332" s="4">
        <f t="shared" si="2"/>
        <v>1810.285714</v>
      </c>
      <c r="H332" s="4">
        <f t="shared" si="3"/>
        <v>6336</v>
      </c>
      <c r="I332" s="5">
        <v>2.0</v>
      </c>
      <c r="J332" s="5">
        <v>0.0</v>
      </c>
      <c r="K332" s="6">
        <f t="shared" si="4"/>
        <v>0</v>
      </c>
    </row>
    <row r="333" ht="17.25" customHeight="1">
      <c r="B333" s="3" t="s">
        <v>341</v>
      </c>
      <c r="C333" s="4">
        <v>5885.0</v>
      </c>
      <c r="D333" s="5">
        <v>38.0</v>
      </c>
      <c r="E333" s="5">
        <v>5.0</v>
      </c>
      <c r="F333" s="6">
        <f t="shared" si="1"/>
        <v>0.1315789474</v>
      </c>
      <c r="G333" s="4">
        <f t="shared" si="2"/>
        <v>1177</v>
      </c>
      <c r="H333" s="4">
        <f t="shared" si="3"/>
        <v>1177</v>
      </c>
      <c r="I333" s="5">
        <v>5.0</v>
      </c>
      <c r="J333" s="5">
        <v>0.0</v>
      </c>
      <c r="K333" s="6">
        <f t="shared" si="4"/>
        <v>0</v>
      </c>
    </row>
    <row r="334" ht="17.25" customHeight="1">
      <c r="B334" s="3" t="s">
        <v>342</v>
      </c>
      <c r="C334" s="4">
        <v>7832.0</v>
      </c>
      <c r="D334" s="5">
        <v>119.0</v>
      </c>
      <c r="E334" s="5">
        <v>7.0</v>
      </c>
      <c r="F334" s="6">
        <f t="shared" si="1"/>
        <v>0.05882352941</v>
      </c>
      <c r="G334" s="4">
        <f t="shared" si="2"/>
        <v>1118.857143</v>
      </c>
      <c r="H334" s="4">
        <f t="shared" si="3"/>
        <v>1958</v>
      </c>
      <c r="I334" s="5">
        <v>4.0</v>
      </c>
      <c r="J334" s="5">
        <v>0.0</v>
      </c>
      <c r="K334" s="6">
        <f t="shared" si="4"/>
        <v>0</v>
      </c>
    </row>
    <row r="335" ht="17.25" customHeight="1">
      <c r="B335" s="3" t="s">
        <v>343</v>
      </c>
      <c r="C335" s="4">
        <v>241351.0</v>
      </c>
      <c r="D335" s="5">
        <v>7319.0</v>
      </c>
      <c r="E335" s="5">
        <v>77.0</v>
      </c>
      <c r="F335" s="6">
        <f t="shared" si="1"/>
        <v>0.01052056292</v>
      </c>
      <c r="G335" s="4">
        <f t="shared" si="2"/>
        <v>3134.428571</v>
      </c>
      <c r="H335" s="4">
        <f t="shared" si="3"/>
        <v>10056.29167</v>
      </c>
      <c r="I335" s="5">
        <v>24.0</v>
      </c>
      <c r="J335" s="5">
        <v>840000.0</v>
      </c>
      <c r="K335" s="6">
        <f t="shared" si="4"/>
        <v>3.480408202</v>
      </c>
    </row>
    <row r="336" ht="17.25" customHeight="1">
      <c r="B336" s="3" t="s">
        <v>344</v>
      </c>
      <c r="C336" s="4">
        <v>6754.0</v>
      </c>
      <c r="D336" s="5">
        <v>89.0</v>
      </c>
      <c r="E336" s="5">
        <v>4.0</v>
      </c>
      <c r="F336" s="6">
        <f t="shared" si="1"/>
        <v>0.04494382022</v>
      </c>
      <c r="G336" s="4">
        <f t="shared" si="2"/>
        <v>1688.5</v>
      </c>
      <c r="H336" s="4">
        <f t="shared" si="3"/>
        <v>0</v>
      </c>
      <c r="I336" s="5">
        <v>0.0</v>
      </c>
      <c r="J336" s="5">
        <v>0.0</v>
      </c>
      <c r="K336" s="6">
        <f t="shared" si="4"/>
        <v>0</v>
      </c>
    </row>
    <row r="337" ht="17.25" customHeight="1">
      <c r="B337" s="3" t="s">
        <v>345</v>
      </c>
      <c r="C337" s="4">
        <v>37477.0</v>
      </c>
      <c r="D337" s="5">
        <v>811.0</v>
      </c>
      <c r="E337" s="5">
        <v>28.0</v>
      </c>
      <c r="F337" s="6">
        <f t="shared" si="1"/>
        <v>0.03452527744</v>
      </c>
      <c r="G337" s="4">
        <f t="shared" si="2"/>
        <v>1338.464286</v>
      </c>
      <c r="H337" s="4">
        <f t="shared" si="3"/>
        <v>2882.846154</v>
      </c>
      <c r="I337" s="5">
        <v>13.0</v>
      </c>
      <c r="J337" s="5">
        <v>302711.0</v>
      </c>
      <c r="K337" s="6">
        <f t="shared" si="4"/>
        <v>8.077247378</v>
      </c>
    </row>
    <row r="338" ht="17.25" customHeight="1">
      <c r="B338" s="3" t="s">
        <v>346</v>
      </c>
      <c r="C338" s="4">
        <v>7777.0</v>
      </c>
      <c r="D338" s="5">
        <v>1087.0</v>
      </c>
      <c r="E338" s="5">
        <v>9.0</v>
      </c>
      <c r="F338" s="6">
        <f t="shared" si="1"/>
        <v>0.008279668813</v>
      </c>
      <c r="G338" s="4">
        <f t="shared" si="2"/>
        <v>864.1111111</v>
      </c>
      <c r="H338" s="4">
        <f t="shared" si="3"/>
        <v>0</v>
      </c>
      <c r="I338" s="5">
        <v>0.0</v>
      </c>
      <c r="J338" s="5">
        <v>0.0</v>
      </c>
      <c r="K338" s="6">
        <f t="shared" si="4"/>
        <v>0</v>
      </c>
    </row>
    <row r="339" ht="17.25" customHeight="1">
      <c r="B339" s="3" t="s">
        <v>347</v>
      </c>
      <c r="C339" s="4">
        <v>103565.0</v>
      </c>
      <c r="D339" s="5">
        <v>684.0</v>
      </c>
      <c r="E339" s="5">
        <v>40.0</v>
      </c>
      <c r="F339" s="6">
        <f t="shared" si="1"/>
        <v>0.05847953216</v>
      </c>
      <c r="G339" s="4">
        <f t="shared" si="2"/>
        <v>2589.125</v>
      </c>
      <c r="H339" s="4">
        <f t="shared" si="3"/>
        <v>0</v>
      </c>
      <c r="I339" s="5">
        <v>0.0</v>
      </c>
      <c r="J339" s="5">
        <v>0.0</v>
      </c>
      <c r="K339" s="6">
        <f t="shared" si="4"/>
        <v>0</v>
      </c>
    </row>
    <row r="340" ht="17.25" customHeight="1">
      <c r="B340" s="3" t="s">
        <v>348</v>
      </c>
      <c r="C340" s="4">
        <v>56012.0</v>
      </c>
      <c r="D340" s="5">
        <v>2405.0</v>
      </c>
      <c r="E340" s="5">
        <v>60.0</v>
      </c>
      <c r="F340" s="6">
        <f t="shared" si="1"/>
        <v>0.02494802495</v>
      </c>
      <c r="G340" s="4">
        <f t="shared" si="2"/>
        <v>933.5333333</v>
      </c>
      <c r="H340" s="4">
        <f t="shared" si="3"/>
        <v>2435.304348</v>
      </c>
      <c r="I340" s="5">
        <v>23.0</v>
      </c>
      <c r="J340" s="5">
        <v>216565.0</v>
      </c>
      <c r="K340" s="6">
        <f t="shared" si="4"/>
        <v>3.866403628</v>
      </c>
    </row>
    <row r="341" ht="17.25" customHeight="1">
      <c r="B341" s="3" t="s">
        <v>349</v>
      </c>
      <c r="C341" s="4">
        <v>528.0</v>
      </c>
      <c r="D341" s="5">
        <v>1.0</v>
      </c>
      <c r="E341" s="5">
        <v>1.0</v>
      </c>
      <c r="F341" s="6">
        <f t="shared" si="1"/>
        <v>1</v>
      </c>
      <c r="G341" s="4">
        <f t="shared" si="2"/>
        <v>528</v>
      </c>
      <c r="H341" s="4">
        <f t="shared" si="3"/>
        <v>0</v>
      </c>
      <c r="I341" s="5">
        <v>0.0</v>
      </c>
      <c r="J341" s="5">
        <v>0.0</v>
      </c>
      <c r="K341" s="6">
        <f t="shared" si="4"/>
        <v>0</v>
      </c>
    </row>
    <row r="342" ht="17.25" customHeight="1">
      <c r="B342" s="3" t="s">
        <v>350</v>
      </c>
      <c r="C342" s="4">
        <v>105314.0</v>
      </c>
      <c r="D342" s="5">
        <v>5210.0</v>
      </c>
      <c r="E342" s="5">
        <v>72.0</v>
      </c>
      <c r="F342" s="6">
        <f t="shared" si="1"/>
        <v>0.01381957774</v>
      </c>
      <c r="G342" s="4">
        <f t="shared" si="2"/>
        <v>1462.694444</v>
      </c>
      <c r="H342" s="4">
        <f t="shared" si="3"/>
        <v>4787</v>
      </c>
      <c r="I342" s="5">
        <v>22.0</v>
      </c>
      <c r="J342" s="5">
        <v>320619.0</v>
      </c>
      <c r="K342" s="6">
        <f t="shared" si="4"/>
        <v>3.04441005</v>
      </c>
    </row>
    <row r="343" ht="17.25" customHeight="1">
      <c r="B343" s="3" t="s">
        <v>351</v>
      </c>
      <c r="C343" s="4">
        <v>561.0</v>
      </c>
      <c r="D343" s="5">
        <v>2.0</v>
      </c>
      <c r="E343" s="5">
        <v>1.0</v>
      </c>
      <c r="F343" s="6">
        <f t="shared" si="1"/>
        <v>0.5</v>
      </c>
      <c r="G343" s="4">
        <f t="shared" si="2"/>
        <v>561</v>
      </c>
      <c r="H343" s="4">
        <f t="shared" si="3"/>
        <v>0</v>
      </c>
      <c r="I343" s="5">
        <v>0.0</v>
      </c>
      <c r="J343" s="5">
        <v>0.0</v>
      </c>
      <c r="K343" s="6">
        <f t="shared" si="4"/>
        <v>0</v>
      </c>
    </row>
    <row r="344" ht="17.25" customHeight="1">
      <c r="B344" s="3" t="s">
        <v>352</v>
      </c>
      <c r="C344" s="4">
        <v>59048.0</v>
      </c>
      <c r="D344" s="5">
        <v>898.0</v>
      </c>
      <c r="E344" s="5">
        <v>41.0</v>
      </c>
      <c r="F344" s="6">
        <f t="shared" si="1"/>
        <v>0.04565701559</v>
      </c>
      <c r="G344" s="4">
        <f t="shared" si="2"/>
        <v>1440.195122</v>
      </c>
      <c r="H344" s="4">
        <f t="shared" si="3"/>
        <v>0</v>
      </c>
      <c r="I344" s="5">
        <v>0.0</v>
      </c>
      <c r="J344" s="5">
        <v>0.0</v>
      </c>
      <c r="K344" s="6">
        <f t="shared" si="4"/>
        <v>0</v>
      </c>
    </row>
    <row r="345" ht="17.25" customHeight="1">
      <c r="B345" s="3" t="s">
        <v>353</v>
      </c>
      <c r="C345" s="4">
        <v>2079.0</v>
      </c>
      <c r="D345" s="5">
        <v>10.0</v>
      </c>
      <c r="E345" s="5">
        <v>2.0</v>
      </c>
      <c r="F345" s="6">
        <f t="shared" si="1"/>
        <v>0.2</v>
      </c>
      <c r="G345" s="4">
        <f t="shared" si="2"/>
        <v>1039.5</v>
      </c>
      <c r="H345" s="4">
        <f t="shared" si="3"/>
        <v>0</v>
      </c>
      <c r="I345" s="5">
        <v>0.0</v>
      </c>
      <c r="J345" s="5">
        <v>0.0</v>
      </c>
      <c r="K345" s="6">
        <f t="shared" si="4"/>
        <v>0</v>
      </c>
    </row>
    <row r="346" ht="17.25" customHeight="1">
      <c r="B346" s="3" t="s">
        <v>354</v>
      </c>
      <c r="C346" s="4">
        <v>1815.0</v>
      </c>
      <c r="D346" s="5">
        <v>13.0</v>
      </c>
      <c r="E346" s="5">
        <v>2.0</v>
      </c>
      <c r="F346" s="6">
        <f t="shared" si="1"/>
        <v>0.1538461538</v>
      </c>
      <c r="G346" s="4">
        <f t="shared" si="2"/>
        <v>907.5</v>
      </c>
      <c r="H346" s="4">
        <f t="shared" si="3"/>
        <v>0</v>
      </c>
      <c r="I346" s="5">
        <v>0.0</v>
      </c>
      <c r="J346" s="5">
        <v>0.0</v>
      </c>
      <c r="K346" s="6">
        <f t="shared" si="4"/>
        <v>0</v>
      </c>
    </row>
    <row r="347" ht="17.25" customHeight="1">
      <c r="B347" s="3" t="s">
        <v>355</v>
      </c>
      <c r="C347" s="4">
        <v>12804.0</v>
      </c>
      <c r="D347" s="5">
        <v>631.0</v>
      </c>
      <c r="E347" s="5">
        <v>21.0</v>
      </c>
      <c r="F347" s="6">
        <f t="shared" si="1"/>
        <v>0.03328050713</v>
      </c>
      <c r="G347" s="4">
        <f t="shared" si="2"/>
        <v>609.7142857</v>
      </c>
      <c r="H347" s="4">
        <f t="shared" si="3"/>
        <v>1600.5</v>
      </c>
      <c r="I347" s="5">
        <v>8.0</v>
      </c>
      <c r="J347" s="5">
        <v>0.0</v>
      </c>
      <c r="K347" s="6">
        <f t="shared" si="4"/>
        <v>0</v>
      </c>
    </row>
    <row r="348" ht="17.25" customHeight="1">
      <c r="B348" s="3" t="s">
        <v>356</v>
      </c>
      <c r="C348" s="4">
        <v>154.0</v>
      </c>
      <c r="D348" s="5">
        <v>3.0</v>
      </c>
      <c r="E348" s="5">
        <v>2.0</v>
      </c>
      <c r="F348" s="6">
        <f t="shared" si="1"/>
        <v>0.6666666667</v>
      </c>
      <c r="G348" s="4">
        <f t="shared" si="2"/>
        <v>77</v>
      </c>
      <c r="H348" s="4">
        <f t="shared" si="3"/>
        <v>0</v>
      </c>
      <c r="I348" s="5">
        <v>0.0</v>
      </c>
      <c r="J348" s="5">
        <v>0.0</v>
      </c>
      <c r="K348" s="6">
        <f t="shared" si="4"/>
        <v>0</v>
      </c>
    </row>
    <row r="349" ht="17.25" customHeight="1">
      <c r="B349" s="3" t="s">
        <v>357</v>
      </c>
      <c r="C349" s="4">
        <v>583.0</v>
      </c>
      <c r="D349" s="5">
        <v>17.0</v>
      </c>
      <c r="E349" s="5">
        <v>2.0</v>
      </c>
      <c r="F349" s="6">
        <f t="shared" si="1"/>
        <v>0.1176470588</v>
      </c>
      <c r="G349" s="4">
        <f t="shared" si="2"/>
        <v>291.5</v>
      </c>
      <c r="H349" s="4">
        <f t="shared" si="3"/>
        <v>0</v>
      </c>
      <c r="I349" s="5">
        <v>0.0</v>
      </c>
      <c r="J349" s="5">
        <v>0.0</v>
      </c>
      <c r="K349" s="6">
        <f t="shared" si="4"/>
        <v>0</v>
      </c>
    </row>
    <row r="350" ht="17.25" customHeight="1">
      <c r="B350" s="3" t="s">
        <v>358</v>
      </c>
      <c r="C350" s="4">
        <v>935.0</v>
      </c>
      <c r="D350" s="5">
        <v>3.0</v>
      </c>
      <c r="E350" s="5">
        <v>1.0</v>
      </c>
      <c r="F350" s="6">
        <f t="shared" si="1"/>
        <v>0.3333333333</v>
      </c>
      <c r="G350" s="4">
        <f t="shared" si="2"/>
        <v>935</v>
      </c>
      <c r="H350" s="4">
        <f t="shared" si="3"/>
        <v>0</v>
      </c>
      <c r="I350" s="5">
        <v>0.0</v>
      </c>
      <c r="J350" s="5">
        <v>0.0</v>
      </c>
      <c r="K350" s="6">
        <f t="shared" si="4"/>
        <v>0</v>
      </c>
    </row>
    <row r="351" ht="17.25" customHeight="1">
      <c r="B351" s="3" t="s">
        <v>359</v>
      </c>
      <c r="C351" s="4">
        <v>23232.0</v>
      </c>
      <c r="D351" s="5">
        <v>2114.0</v>
      </c>
      <c r="E351" s="5">
        <v>19.0</v>
      </c>
      <c r="F351" s="6">
        <f t="shared" si="1"/>
        <v>0.008987701041</v>
      </c>
      <c r="G351" s="4">
        <f t="shared" si="2"/>
        <v>1222.736842</v>
      </c>
      <c r="H351" s="4">
        <f t="shared" si="3"/>
        <v>0</v>
      </c>
      <c r="I351" s="5">
        <v>0.0</v>
      </c>
      <c r="J351" s="5">
        <v>0.0</v>
      </c>
      <c r="K351" s="6">
        <f t="shared" si="4"/>
        <v>0</v>
      </c>
    </row>
    <row r="352" ht="17.25" customHeight="1">
      <c r="B352" s="3" t="s">
        <v>360</v>
      </c>
      <c r="C352" s="4">
        <v>748.0</v>
      </c>
      <c r="D352" s="5">
        <v>6.0</v>
      </c>
      <c r="E352" s="5">
        <v>1.0</v>
      </c>
      <c r="F352" s="6">
        <f t="shared" si="1"/>
        <v>0.1666666667</v>
      </c>
      <c r="G352" s="4">
        <f t="shared" si="2"/>
        <v>748</v>
      </c>
      <c r="H352" s="4">
        <f t="shared" si="3"/>
        <v>0</v>
      </c>
      <c r="I352" s="5">
        <v>0.0</v>
      </c>
      <c r="J352" s="5">
        <v>0.0</v>
      </c>
      <c r="K352" s="6">
        <f t="shared" si="4"/>
        <v>0</v>
      </c>
    </row>
    <row r="353" ht="17.25" customHeight="1">
      <c r="B353" s="3" t="s">
        <v>361</v>
      </c>
      <c r="C353" s="4">
        <v>418.0</v>
      </c>
      <c r="D353" s="5">
        <v>15.0</v>
      </c>
      <c r="E353" s="5">
        <v>2.0</v>
      </c>
      <c r="F353" s="6">
        <f t="shared" si="1"/>
        <v>0.1333333333</v>
      </c>
      <c r="G353" s="4">
        <f t="shared" si="2"/>
        <v>209</v>
      </c>
      <c r="H353" s="4">
        <f t="shared" si="3"/>
        <v>0</v>
      </c>
      <c r="I353" s="5">
        <v>0.0</v>
      </c>
      <c r="J353" s="5">
        <v>0.0</v>
      </c>
      <c r="K353" s="6">
        <f t="shared" si="4"/>
        <v>0</v>
      </c>
    </row>
    <row r="354" ht="17.25" customHeight="1">
      <c r="B354" s="3" t="s">
        <v>362</v>
      </c>
      <c r="C354" s="4">
        <v>2453.0</v>
      </c>
      <c r="D354" s="5">
        <v>54.0</v>
      </c>
      <c r="E354" s="5">
        <v>2.0</v>
      </c>
      <c r="F354" s="6">
        <f t="shared" si="1"/>
        <v>0.03703703704</v>
      </c>
      <c r="G354" s="4">
        <f t="shared" si="2"/>
        <v>1226.5</v>
      </c>
      <c r="H354" s="4">
        <f t="shared" si="3"/>
        <v>0</v>
      </c>
      <c r="I354" s="5">
        <v>0.0</v>
      </c>
      <c r="J354" s="5">
        <v>0.0</v>
      </c>
      <c r="K354" s="6">
        <f t="shared" si="4"/>
        <v>0</v>
      </c>
    </row>
    <row r="355" ht="17.25" customHeight="1">
      <c r="B355" s="3" t="s">
        <v>363</v>
      </c>
      <c r="C355" s="4">
        <v>1661.0</v>
      </c>
      <c r="D355" s="5">
        <v>5.0</v>
      </c>
      <c r="E355" s="5">
        <v>2.0</v>
      </c>
      <c r="F355" s="6">
        <f t="shared" si="1"/>
        <v>0.4</v>
      </c>
      <c r="G355" s="4">
        <f t="shared" si="2"/>
        <v>830.5</v>
      </c>
      <c r="H355" s="4">
        <f t="shared" si="3"/>
        <v>0</v>
      </c>
      <c r="I355" s="5">
        <v>0.0</v>
      </c>
      <c r="J355" s="5">
        <v>0.0</v>
      </c>
      <c r="K355" s="6">
        <f t="shared" si="4"/>
        <v>0</v>
      </c>
    </row>
    <row r="356" ht="17.25" customHeight="1">
      <c r="B356" s="3" t="s">
        <v>364</v>
      </c>
      <c r="C356" s="4">
        <v>2035.0</v>
      </c>
      <c r="D356" s="5">
        <v>51.0</v>
      </c>
      <c r="E356" s="5">
        <v>3.0</v>
      </c>
      <c r="F356" s="6">
        <f t="shared" si="1"/>
        <v>0.05882352941</v>
      </c>
      <c r="G356" s="4">
        <f t="shared" si="2"/>
        <v>678.3333333</v>
      </c>
      <c r="H356" s="4">
        <f t="shared" si="3"/>
        <v>0</v>
      </c>
      <c r="I356" s="5">
        <v>0.0</v>
      </c>
      <c r="J356" s="5">
        <v>0.0</v>
      </c>
      <c r="K356" s="6">
        <f t="shared" si="4"/>
        <v>0</v>
      </c>
    </row>
    <row r="357" ht="17.25" customHeight="1">
      <c r="B357" s="3" t="s">
        <v>365</v>
      </c>
      <c r="C357" s="4">
        <v>45298.0</v>
      </c>
      <c r="D357" s="5">
        <v>2596.0</v>
      </c>
      <c r="E357" s="5">
        <v>33.0</v>
      </c>
      <c r="F357" s="6">
        <f t="shared" si="1"/>
        <v>0.01271186441</v>
      </c>
      <c r="G357" s="4">
        <f t="shared" si="2"/>
        <v>1372.666667</v>
      </c>
      <c r="H357" s="4">
        <f t="shared" si="3"/>
        <v>15099.33333</v>
      </c>
      <c r="I357" s="5">
        <v>3.0</v>
      </c>
      <c r="J357" s="5">
        <v>320000.0</v>
      </c>
      <c r="K357" s="6">
        <f t="shared" si="4"/>
        <v>7.064329551</v>
      </c>
    </row>
    <row r="358" ht="17.25" customHeight="1">
      <c r="B358" s="3" t="s">
        <v>366</v>
      </c>
      <c r="C358" s="4">
        <v>50369.0</v>
      </c>
      <c r="D358" s="5">
        <v>1885.0</v>
      </c>
      <c r="E358" s="5">
        <v>31.0</v>
      </c>
      <c r="F358" s="6">
        <f t="shared" si="1"/>
        <v>0.01644562334</v>
      </c>
      <c r="G358" s="4">
        <f t="shared" si="2"/>
        <v>1624.806452</v>
      </c>
      <c r="H358" s="4">
        <f t="shared" si="3"/>
        <v>25184.5</v>
      </c>
      <c r="I358" s="5">
        <v>2.0</v>
      </c>
      <c r="J358" s="5">
        <v>0.0</v>
      </c>
      <c r="K358" s="6">
        <f t="shared" si="4"/>
        <v>0</v>
      </c>
    </row>
    <row r="359" ht="17.25" customHeight="1">
      <c r="B359" s="3" t="s">
        <v>367</v>
      </c>
      <c r="C359" s="4">
        <v>10516.0</v>
      </c>
      <c r="D359" s="5">
        <v>216.0</v>
      </c>
      <c r="E359" s="5">
        <v>10.0</v>
      </c>
      <c r="F359" s="6">
        <f t="shared" si="1"/>
        <v>0.0462962963</v>
      </c>
      <c r="G359" s="4">
        <f t="shared" si="2"/>
        <v>1051.6</v>
      </c>
      <c r="H359" s="4">
        <f t="shared" si="3"/>
        <v>0</v>
      </c>
      <c r="I359" s="5">
        <v>0.0</v>
      </c>
      <c r="J359" s="5">
        <v>0.0</v>
      </c>
      <c r="K359" s="6">
        <f t="shared" si="4"/>
        <v>0</v>
      </c>
    </row>
    <row r="360" ht="17.25" customHeight="1">
      <c r="B360" s="3" t="s">
        <v>368</v>
      </c>
      <c r="C360" s="4">
        <v>20295.0</v>
      </c>
      <c r="D360" s="5">
        <v>492.0</v>
      </c>
      <c r="E360" s="5">
        <v>15.0</v>
      </c>
      <c r="F360" s="6">
        <f t="shared" si="1"/>
        <v>0.03048780488</v>
      </c>
      <c r="G360" s="4">
        <f t="shared" si="2"/>
        <v>1353</v>
      </c>
      <c r="H360" s="4">
        <f t="shared" si="3"/>
        <v>10147.5</v>
      </c>
      <c r="I360" s="5">
        <v>2.0</v>
      </c>
      <c r="J360" s="5">
        <v>0.0</v>
      </c>
      <c r="K360" s="6">
        <f t="shared" si="4"/>
        <v>0</v>
      </c>
    </row>
    <row r="361" ht="17.25" customHeight="1">
      <c r="B361" s="3" t="s">
        <v>369</v>
      </c>
      <c r="C361" s="4">
        <v>1540.0</v>
      </c>
      <c r="D361" s="5">
        <v>43.0</v>
      </c>
      <c r="E361" s="5">
        <v>2.0</v>
      </c>
      <c r="F361" s="6">
        <f t="shared" si="1"/>
        <v>0.04651162791</v>
      </c>
      <c r="G361" s="4">
        <f t="shared" si="2"/>
        <v>770</v>
      </c>
      <c r="H361" s="4">
        <f t="shared" si="3"/>
        <v>0</v>
      </c>
      <c r="I361" s="5">
        <v>0.0</v>
      </c>
      <c r="J361" s="5">
        <v>0.0</v>
      </c>
      <c r="K361" s="6">
        <f t="shared" si="4"/>
        <v>0</v>
      </c>
    </row>
    <row r="362" ht="17.25" customHeight="1">
      <c r="B362" s="3" t="s">
        <v>370</v>
      </c>
      <c r="C362" s="4">
        <v>16533.0</v>
      </c>
      <c r="D362" s="5">
        <v>399.0</v>
      </c>
      <c r="E362" s="5">
        <v>17.0</v>
      </c>
      <c r="F362" s="6">
        <f t="shared" si="1"/>
        <v>0.04260651629</v>
      </c>
      <c r="G362" s="4">
        <f t="shared" si="2"/>
        <v>972.5294118</v>
      </c>
      <c r="H362" s="4">
        <f t="shared" si="3"/>
        <v>8266.5</v>
      </c>
      <c r="I362" s="5">
        <v>2.0</v>
      </c>
      <c r="J362" s="5">
        <v>0.0</v>
      </c>
      <c r="K362" s="6">
        <f t="shared" si="4"/>
        <v>0</v>
      </c>
    </row>
    <row r="363" ht="17.25" customHeight="1">
      <c r="B363" s="3" t="s">
        <v>371</v>
      </c>
      <c r="C363" s="4">
        <v>4345.0</v>
      </c>
      <c r="D363" s="5">
        <v>11.0</v>
      </c>
      <c r="E363" s="5">
        <v>3.0</v>
      </c>
      <c r="F363" s="6">
        <f t="shared" si="1"/>
        <v>0.2727272727</v>
      </c>
      <c r="G363" s="4">
        <f t="shared" si="2"/>
        <v>1448.333333</v>
      </c>
      <c r="H363" s="4">
        <f t="shared" si="3"/>
        <v>0</v>
      </c>
      <c r="I363" s="5">
        <v>0.0</v>
      </c>
      <c r="J363" s="5">
        <v>0.0</v>
      </c>
      <c r="K363" s="6">
        <f t="shared" si="4"/>
        <v>0</v>
      </c>
    </row>
    <row r="364" ht="17.25" customHeight="1">
      <c r="B364" s="3" t="s">
        <v>372</v>
      </c>
      <c r="C364" s="4">
        <v>1969.0</v>
      </c>
      <c r="D364" s="5">
        <v>12.0</v>
      </c>
      <c r="E364" s="5">
        <v>3.0</v>
      </c>
      <c r="F364" s="6">
        <f t="shared" si="1"/>
        <v>0.25</v>
      </c>
      <c r="G364" s="4">
        <f t="shared" si="2"/>
        <v>656.3333333</v>
      </c>
      <c r="H364" s="4">
        <f t="shared" si="3"/>
        <v>0</v>
      </c>
      <c r="I364" s="5">
        <v>0.0</v>
      </c>
      <c r="J364" s="5">
        <v>0.0</v>
      </c>
      <c r="K364" s="6">
        <f t="shared" si="4"/>
        <v>0</v>
      </c>
    </row>
    <row r="365" ht="17.25" customHeight="1">
      <c r="B365" s="3" t="s">
        <v>373</v>
      </c>
      <c r="C365" s="4">
        <v>10120.0</v>
      </c>
      <c r="D365" s="5">
        <v>76.0</v>
      </c>
      <c r="E365" s="5">
        <v>5.0</v>
      </c>
      <c r="F365" s="6">
        <f t="shared" si="1"/>
        <v>0.06578947368</v>
      </c>
      <c r="G365" s="4">
        <f t="shared" si="2"/>
        <v>2024</v>
      </c>
      <c r="H365" s="4">
        <f t="shared" si="3"/>
        <v>0</v>
      </c>
      <c r="I365" s="5">
        <v>0.0</v>
      </c>
      <c r="J365" s="5">
        <v>0.0</v>
      </c>
      <c r="K365" s="6">
        <f t="shared" si="4"/>
        <v>0</v>
      </c>
    </row>
    <row r="366" ht="17.25" customHeight="1">
      <c r="B366" s="3" t="s">
        <v>374</v>
      </c>
      <c r="C366" s="4">
        <v>583.0</v>
      </c>
      <c r="D366" s="5">
        <v>1.0</v>
      </c>
      <c r="E366" s="5">
        <v>1.0</v>
      </c>
      <c r="F366" s="6">
        <f t="shared" si="1"/>
        <v>1</v>
      </c>
      <c r="G366" s="4">
        <f t="shared" si="2"/>
        <v>583</v>
      </c>
      <c r="H366" s="4">
        <f t="shared" si="3"/>
        <v>0</v>
      </c>
      <c r="I366" s="5">
        <v>0.0</v>
      </c>
      <c r="J366" s="5">
        <v>0.0</v>
      </c>
      <c r="K366" s="6">
        <f t="shared" si="4"/>
        <v>0</v>
      </c>
    </row>
    <row r="367" ht="17.25" customHeight="1">
      <c r="B367" s="3" t="s">
        <v>375</v>
      </c>
      <c r="C367" s="4">
        <v>31328.0</v>
      </c>
      <c r="D367" s="5">
        <v>5165.0</v>
      </c>
      <c r="E367" s="5">
        <v>17.0</v>
      </c>
      <c r="F367" s="6">
        <f t="shared" si="1"/>
        <v>0.003291384318</v>
      </c>
      <c r="G367" s="4">
        <f t="shared" si="2"/>
        <v>1842.823529</v>
      </c>
      <c r="H367" s="4">
        <f t="shared" si="3"/>
        <v>0</v>
      </c>
      <c r="I367" s="5">
        <v>0.0</v>
      </c>
      <c r="J367" s="5">
        <v>0.0</v>
      </c>
      <c r="K367" s="6">
        <f t="shared" si="4"/>
        <v>0</v>
      </c>
    </row>
    <row r="368" ht="17.25" customHeight="1">
      <c r="B368" s="3" t="s">
        <v>376</v>
      </c>
      <c r="C368" s="4">
        <v>77.0</v>
      </c>
      <c r="D368" s="5">
        <v>1.0</v>
      </c>
      <c r="E368" s="5">
        <v>1.0</v>
      </c>
      <c r="F368" s="6">
        <f t="shared" si="1"/>
        <v>1</v>
      </c>
      <c r="G368" s="4">
        <f t="shared" si="2"/>
        <v>77</v>
      </c>
      <c r="H368" s="4">
        <f t="shared" si="3"/>
        <v>0</v>
      </c>
      <c r="I368" s="5">
        <v>0.0</v>
      </c>
      <c r="J368" s="5">
        <v>0.0</v>
      </c>
      <c r="K368" s="6">
        <f t="shared" si="4"/>
        <v>0</v>
      </c>
    </row>
    <row r="369" ht="17.25" customHeight="1">
      <c r="B369" s="3" t="s">
        <v>377</v>
      </c>
      <c r="C369" s="4">
        <v>2090.0</v>
      </c>
      <c r="D369" s="5">
        <v>43.0</v>
      </c>
      <c r="E369" s="5">
        <v>3.0</v>
      </c>
      <c r="F369" s="6">
        <f t="shared" si="1"/>
        <v>0.06976744186</v>
      </c>
      <c r="G369" s="4">
        <f t="shared" si="2"/>
        <v>696.6666667</v>
      </c>
      <c r="H369" s="4">
        <f t="shared" si="3"/>
        <v>0</v>
      </c>
      <c r="I369" s="5">
        <v>0.0</v>
      </c>
      <c r="J369" s="5">
        <v>0.0</v>
      </c>
      <c r="K369" s="6">
        <f t="shared" si="4"/>
        <v>0</v>
      </c>
    </row>
    <row r="370" ht="17.25" customHeight="1">
      <c r="B370" s="3" t="s">
        <v>378</v>
      </c>
      <c r="C370" s="4">
        <v>704.0</v>
      </c>
      <c r="D370" s="5">
        <v>9.0</v>
      </c>
      <c r="E370" s="5">
        <v>1.0</v>
      </c>
      <c r="F370" s="6">
        <f t="shared" si="1"/>
        <v>0.1111111111</v>
      </c>
      <c r="G370" s="4">
        <f t="shared" si="2"/>
        <v>704</v>
      </c>
      <c r="H370" s="4">
        <f t="shared" si="3"/>
        <v>0</v>
      </c>
      <c r="I370" s="5">
        <v>0.0</v>
      </c>
      <c r="J370" s="5">
        <v>0.0</v>
      </c>
      <c r="K370" s="6">
        <f t="shared" si="4"/>
        <v>0</v>
      </c>
    </row>
    <row r="371" ht="17.25" customHeight="1">
      <c r="B371" s="3" t="s">
        <v>379</v>
      </c>
      <c r="C371" s="4">
        <v>3850.0</v>
      </c>
      <c r="D371" s="5">
        <v>257.0</v>
      </c>
      <c r="E371" s="5">
        <v>4.0</v>
      </c>
      <c r="F371" s="6">
        <f t="shared" si="1"/>
        <v>0.01556420233</v>
      </c>
      <c r="G371" s="4">
        <f t="shared" si="2"/>
        <v>962.5</v>
      </c>
      <c r="H371" s="4">
        <f t="shared" si="3"/>
        <v>0</v>
      </c>
      <c r="I371" s="5">
        <v>0.0</v>
      </c>
      <c r="J371" s="5">
        <v>0.0</v>
      </c>
      <c r="K371" s="6">
        <f t="shared" si="4"/>
        <v>0</v>
      </c>
    </row>
    <row r="372" ht="17.25" customHeight="1">
      <c r="B372" s="3" t="s">
        <v>380</v>
      </c>
      <c r="C372" s="4">
        <v>295966.0</v>
      </c>
      <c r="D372" s="5">
        <v>30899.0</v>
      </c>
      <c r="E372" s="5">
        <v>119.0</v>
      </c>
      <c r="F372" s="6">
        <f t="shared" si="1"/>
        <v>0.003851257322</v>
      </c>
      <c r="G372" s="4">
        <f t="shared" si="2"/>
        <v>2487.109244</v>
      </c>
      <c r="H372" s="4">
        <f t="shared" si="3"/>
        <v>0</v>
      </c>
      <c r="I372" s="5">
        <v>0.0</v>
      </c>
      <c r="J372" s="5">
        <v>0.0</v>
      </c>
      <c r="K372" s="6">
        <f t="shared" si="4"/>
        <v>0</v>
      </c>
    </row>
    <row r="373" ht="17.25" customHeight="1">
      <c r="B373" s="3" t="s">
        <v>381</v>
      </c>
      <c r="C373" s="4">
        <v>4675.0</v>
      </c>
      <c r="D373" s="5">
        <v>98.0</v>
      </c>
      <c r="E373" s="5">
        <v>2.0</v>
      </c>
      <c r="F373" s="6">
        <f t="shared" si="1"/>
        <v>0.02040816327</v>
      </c>
      <c r="G373" s="4">
        <f t="shared" si="2"/>
        <v>2337.5</v>
      </c>
      <c r="H373" s="4">
        <f t="shared" si="3"/>
        <v>0</v>
      </c>
      <c r="I373" s="5">
        <v>0.0</v>
      </c>
      <c r="J373" s="5">
        <v>0.0</v>
      </c>
      <c r="K373" s="6">
        <f t="shared" si="4"/>
        <v>0</v>
      </c>
    </row>
    <row r="374" ht="17.25" customHeight="1">
      <c r="B374" s="3" t="s">
        <v>382</v>
      </c>
      <c r="C374" s="4">
        <v>6666.0</v>
      </c>
      <c r="D374" s="5">
        <v>40.0</v>
      </c>
      <c r="E374" s="5">
        <v>3.0</v>
      </c>
      <c r="F374" s="6">
        <f t="shared" si="1"/>
        <v>0.075</v>
      </c>
      <c r="G374" s="4">
        <f t="shared" si="2"/>
        <v>2222</v>
      </c>
      <c r="H374" s="4">
        <f t="shared" si="3"/>
        <v>0</v>
      </c>
      <c r="I374" s="5">
        <v>0.0</v>
      </c>
      <c r="J374" s="5">
        <v>0.0</v>
      </c>
      <c r="K374" s="6">
        <f t="shared" si="4"/>
        <v>0</v>
      </c>
    </row>
    <row r="375" ht="17.25" customHeight="1">
      <c r="B375" s="3" t="s">
        <v>383</v>
      </c>
      <c r="C375" s="4">
        <v>15092.0</v>
      </c>
      <c r="D375" s="5">
        <v>81.0</v>
      </c>
      <c r="E375" s="5">
        <v>2.0</v>
      </c>
      <c r="F375" s="6">
        <f t="shared" si="1"/>
        <v>0.02469135802</v>
      </c>
      <c r="G375" s="4">
        <f t="shared" si="2"/>
        <v>7546</v>
      </c>
      <c r="H375" s="4">
        <f t="shared" si="3"/>
        <v>0</v>
      </c>
      <c r="I375" s="5">
        <v>0.0</v>
      </c>
      <c r="J375" s="5">
        <v>0.0</v>
      </c>
      <c r="K375" s="6">
        <f t="shared" si="4"/>
        <v>0</v>
      </c>
    </row>
    <row r="376" ht="17.25" customHeight="1">
      <c r="B376" s="3" t="s">
        <v>384</v>
      </c>
      <c r="C376" s="4">
        <v>7194.0</v>
      </c>
      <c r="D376" s="5">
        <v>39.0</v>
      </c>
      <c r="E376" s="5">
        <v>3.0</v>
      </c>
      <c r="F376" s="6">
        <f t="shared" si="1"/>
        <v>0.07692307692</v>
      </c>
      <c r="G376" s="4">
        <f t="shared" si="2"/>
        <v>2398</v>
      </c>
      <c r="H376" s="4">
        <f t="shared" si="3"/>
        <v>0</v>
      </c>
      <c r="I376" s="5">
        <v>0.0</v>
      </c>
      <c r="J376" s="5">
        <v>0.0</v>
      </c>
      <c r="K376" s="6">
        <f t="shared" si="4"/>
        <v>0</v>
      </c>
    </row>
    <row r="377" ht="17.25" customHeight="1">
      <c r="B377" s="3" t="s">
        <v>385</v>
      </c>
      <c r="C377" s="4">
        <v>7370.0</v>
      </c>
      <c r="D377" s="5">
        <v>60.0</v>
      </c>
      <c r="E377" s="5">
        <v>4.0</v>
      </c>
      <c r="F377" s="6">
        <f t="shared" si="1"/>
        <v>0.06666666667</v>
      </c>
      <c r="G377" s="4">
        <f t="shared" si="2"/>
        <v>1842.5</v>
      </c>
      <c r="H377" s="4">
        <f t="shared" si="3"/>
        <v>0</v>
      </c>
      <c r="I377" s="5">
        <v>0.0</v>
      </c>
      <c r="J377" s="5">
        <v>0.0</v>
      </c>
      <c r="K377" s="6">
        <f t="shared" si="4"/>
        <v>0</v>
      </c>
    </row>
    <row r="378" ht="17.25" customHeight="1">
      <c r="B378" s="3" t="s">
        <v>386</v>
      </c>
      <c r="C378" s="4">
        <v>6578.0</v>
      </c>
      <c r="D378" s="5">
        <v>10.0</v>
      </c>
      <c r="E378" s="5">
        <v>1.0</v>
      </c>
      <c r="F378" s="6">
        <f t="shared" si="1"/>
        <v>0.1</v>
      </c>
      <c r="G378" s="4">
        <f t="shared" si="2"/>
        <v>6578</v>
      </c>
      <c r="H378" s="4">
        <f t="shared" si="3"/>
        <v>0</v>
      </c>
      <c r="I378" s="5">
        <v>0.0</v>
      </c>
      <c r="J378" s="5">
        <v>0.0</v>
      </c>
      <c r="K378" s="6">
        <f t="shared" si="4"/>
        <v>0</v>
      </c>
    </row>
    <row r="379" ht="17.25" customHeight="1">
      <c r="B379" s="3" t="s">
        <v>387</v>
      </c>
      <c r="C379" s="4">
        <v>356862.0</v>
      </c>
      <c r="D379" s="5">
        <v>5713.0</v>
      </c>
      <c r="E379" s="5">
        <v>103.0</v>
      </c>
      <c r="F379" s="6">
        <f t="shared" si="1"/>
        <v>0.01802905654</v>
      </c>
      <c r="G379" s="4">
        <f t="shared" si="2"/>
        <v>3464.679612</v>
      </c>
      <c r="H379" s="4">
        <f t="shared" si="3"/>
        <v>50980.28571</v>
      </c>
      <c r="I379" s="5">
        <v>7.0</v>
      </c>
      <c r="J379" s="5">
        <v>0.0</v>
      </c>
      <c r="K379" s="6">
        <f t="shared" si="4"/>
        <v>0</v>
      </c>
    </row>
    <row r="380" ht="17.25" customHeight="1">
      <c r="B380" s="3" t="s">
        <v>388</v>
      </c>
      <c r="C380" s="4">
        <v>4411.0</v>
      </c>
      <c r="D380" s="5">
        <v>1522.0</v>
      </c>
      <c r="E380" s="5">
        <v>11.0</v>
      </c>
      <c r="F380" s="6">
        <f t="shared" si="1"/>
        <v>0.007227332457</v>
      </c>
      <c r="G380" s="4">
        <f t="shared" si="2"/>
        <v>401</v>
      </c>
      <c r="H380" s="4">
        <f t="shared" si="3"/>
        <v>1102.75</v>
      </c>
      <c r="I380" s="5">
        <v>4.0</v>
      </c>
      <c r="J380" s="5">
        <v>0.0</v>
      </c>
      <c r="K380" s="6">
        <f t="shared" si="4"/>
        <v>0</v>
      </c>
    </row>
    <row r="381" ht="17.25" customHeight="1">
      <c r="B381" s="3" t="s">
        <v>389</v>
      </c>
      <c r="C381" s="4">
        <v>77.0</v>
      </c>
      <c r="D381" s="5">
        <v>3.0</v>
      </c>
      <c r="E381" s="5">
        <v>1.0</v>
      </c>
      <c r="F381" s="6">
        <f t="shared" si="1"/>
        <v>0.3333333333</v>
      </c>
      <c r="G381" s="4">
        <f t="shared" si="2"/>
        <v>77</v>
      </c>
      <c r="H381" s="4">
        <f t="shared" si="3"/>
        <v>5.5</v>
      </c>
      <c r="I381" s="5">
        <v>14.0</v>
      </c>
      <c r="J381" s="5">
        <v>375011.0</v>
      </c>
      <c r="K381" s="6">
        <f t="shared" si="4"/>
        <v>4870.272727</v>
      </c>
    </row>
    <row r="382" ht="17.25" customHeight="1">
      <c r="B382" s="3" t="s">
        <v>390</v>
      </c>
      <c r="C382" s="4">
        <v>154.0</v>
      </c>
      <c r="D382" s="5">
        <v>3.0</v>
      </c>
      <c r="E382" s="5">
        <v>2.0</v>
      </c>
      <c r="F382" s="6">
        <f t="shared" si="1"/>
        <v>0.6666666667</v>
      </c>
      <c r="G382" s="4">
        <f t="shared" si="2"/>
        <v>77</v>
      </c>
      <c r="H382" s="4">
        <f t="shared" si="3"/>
        <v>0</v>
      </c>
      <c r="I382" s="5">
        <v>0.0</v>
      </c>
      <c r="J382" s="5">
        <v>0.0</v>
      </c>
      <c r="K382" s="6">
        <f t="shared" si="4"/>
        <v>0</v>
      </c>
    </row>
    <row r="383" ht="17.25" customHeight="1">
      <c r="C383" s="4"/>
      <c r="D383" s="5"/>
      <c r="E383" s="5"/>
      <c r="F383" s="5"/>
      <c r="G383" s="5"/>
      <c r="H383" s="5"/>
      <c r="I383" s="5"/>
      <c r="J383" s="5"/>
    </row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autoFilter ref="$B$2:$K$382">
    <sortState ref="B2:K382">
      <sortCondition ref="B2:B382"/>
      <sortCondition descending="1" ref="K2:K382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2.5"/>
    <col customWidth="1" min="3" max="3" width="10.38"/>
    <col customWidth="1" min="4" max="4" width="9.38"/>
    <col customWidth="1" min="5" max="5" width="5.13"/>
    <col customWidth="1" min="6" max="6" width="5.5"/>
    <col customWidth="1" min="7" max="7" width="7.5"/>
    <col customWidth="1" min="8" max="8" width="8.38"/>
    <col customWidth="1" min="9" max="9" width="4.38"/>
    <col customWidth="1" min="10" max="10" width="12.75"/>
    <col customWidth="1" min="11" max="11" width="9.0"/>
    <col customWidth="1" min="12" max="26" width="7.63"/>
  </cols>
  <sheetData>
    <row r="1" ht="17.25" customHeight="1">
      <c r="B1" s="1" t="s">
        <v>0</v>
      </c>
    </row>
    <row r="2" ht="42.0" customHeight="1">
      <c r="B2" s="2" t="s">
        <v>391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ht="17.25" customHeight="1">
      <c r="B3" s="3" t="s">
        <v>392</v>
      </c>
      <c r="C3" s="4">
        <v>166148.246743554</v>
      </c>
      <c r="D3" s="5">
        <v>820422.0</v>
      </c>
      <c r="E3" s="5">
        <v>166.0</v>
      </c>
      <c r="F3" s="6">
        <f t="shared" ref="F3:F24" si="1">IFERROR((E3/D3),0)</f>
        <v>0.0002023348959</v>
      </c>
      <c r="G3" s="4">
        <f t="shared" ref="G3:G24" si="2">IFERROR((C3/E3),0)</f>
        <v>1000.893053</v>
      </c>
      <c r="H3" s="4">
        <f t="shared" ref="H3:H24" si="3">IFERROR((C3/I3),0)</f>
        <v>2307.614538</v>
      </c>
      <c r="I3" s="3">
        <v>72.0</v>
      </c>
      <c r="J3" s="4">
        <v>1.653639E7</v>
      </c>
      <c r="K3" s="6">
        <f t="shared" ref="K3:K24" si="4">IFERROR((J3/C3),0)</f>
        <v>99.52792355</v>
      </c>
    </row>
    <row r="4" ht="17.25" customHeight="1">
      <c r="B4" s="3" t="s">
        <v>393</v>
      </c>
      <c r="C4" s="4">
        <v>157544.715932967</v>
      </c>
      <c r="D4" s="5">
        <v>837777.0</v>
      </c>
      <c r="E4" s="5">
        <v>155.0</v>
      </c>
      <c r="F4" s="6">
        <f t="shared" si="1"/>
        <v>0.0001850134344</v>
      </c>
      <c r="G4" s="4">
        <f t="shared" si="2"/>
        <v>1016.417522</v>
      </c>
      <c r="H4" s="4">
        <f t="shared" si="3"/>
        <v>2500.709777</v>
      </c>
      <c r="I4" s="3">
        <v>63.0</v>
      </c>
      <c r="J4" s="4">
        <v>9551200.0</v>
      </c>
      <c r="K4" s="6">
        <f t="shared" si="4"/>
        <v>60.6253275</v>
      </c>
    </row>
    <row r="5" ht="17.25" customHeight="1">
      <c r="B5" s="3" t="s">
        <v>394</v>
      </c>
      <c r="C5" s="4">
        <v>86923.28292268</v>
      </c>
      <c r="D5" s="5">
        <v>298258.0</v>
      </c>
      <c r="E5" s="5">
        <v>151.0</v>
      </c>
      <c r="F5" s="6">
        <f t="shared" si="1"/>
        <v>0.0005062730924</v>
      </c>
      <c r="G5" s="4">
        <f t="shared" si="2"/>
        <v>575.6508803</v>
      </c>
      <c r="H5" s="4">
        <f t="shared" si="3"/>
        <v>6208.805923</v>
      </c>
      <c r="I5" s="3">
        <v>14.0</v>
      </c>
      <c r="J5" s="4">
        <v>2173000.0</v>
      </c>
      <c r="K5" s="6">
        <f t="shared" si="4"/>
        <v>24.9990558</v>
      </c>
    </row>
    <row r="6" ht="17.25" customHeight="1">
      <c r="B6" s="3" t="s">
        <v>395</v>
      </c>
      <c r="C6" s="4">
        <v>141998.399208635</v>
      </c>
      <c r="D6" s="5">
        <v>569490.0</v>
      </c>
      <c r="E6" s="5">
        <v>136.0</v>
      </c>
      <c r="F6" s="6">
        <f t="shared" si="1"/>
        <v>0.0002388101635</v>
      </c>
      <c r="G6" s="4">
        <f t="shared" si="2"/>
        <v>1044.105877</v>
      </c>
      <c r="H6" s="4">
        <f t="shared" si="3"/>
        <v>2958.299984</v>
      </c>
      <c r="I6" s="3">
        <v>48.0</v>
      </c>
      <c r="J6" s="4">
        <v>1.1939784E7</v>
      </c>
      <c r="K6" s="6">
        <f t="shared" si="4"/>
        <v>84.08393381</v>
      </c>
    </row>
    <row r="7" ht="17.25" customHeight="1">
      <c r="B7" s="3" t="s">
        <v>396</v>
      </c>
      <c r="C7" s="4">
        <v>93257.8929241157</v>
      </c>
      <c r="D7" s="5">
        <v>491059.0</v>
      </c>
      <c r="E7" s="5">
        <v>122.0</v>
      </c>
      <c r="F7" s="6">
        <f t="shared" si="1"/>
        <v>0.0002484426515</v>
      </c>
      <c r="G7" s="4">
        <f t="shared" si="2"/>
        <v>764.4089584</v>
      </c>
      <c r="H7" s="4">
        <f t="shared" si="3"/>
        <v>2274.582754</v>
      </c>
      <c r="I7" s="3">
        <v>41.0</v>
      </c>
      <c r="J7" s="4">
        <v>9378760.0</v>
      </c>
      <c r="K7" s="6">
        <f t="shared" si="4"/>
        <v>100.5680024</v>
      </c>
    </row>
    <row r="8" ht="17.25" customHeight="1">
      <c r="B8" s="3" t="s">
        <v>397</v>
      </c>
      <c r="C8" s="4">
        <v>62595.8408933445</v>
      </c>
      <c r="D8" s="5">
        <v>185650.0</v>
      </c>
      <c r="E8" s="5">
        <v>76.0</v>
      </c>
      <c r="F8" s="6">
        <f t="shared" si="1"/>
        <v>0.0004093724751</v>
      </c>
      <c r="G8" s="4">
        <f t="shared" si="2"/>
        <v>823.6294854</v>
      </c>
      <c r="H8" s="4">
        <f t="shared" si="3"/>
        <v>20865.2803</v>
      </c>
      <c r="I8" s="3">
        <v>3.0</v>
      </c>
      <c r="J8" s="4">
        <v>515500.0</v>
      </c>
      <c r="K8" s="6">
        <f t="shared" si="4"/>
        <v>8.235371434</v>
      </c>
    </row>
    <row r="9" ht="17.25" customHeight="1">
      <c r="B9" s="3" t="s">
        <v>398</v>
      </c>
      <c r="C9" s="4">
        <v>128724.219342528</v>
      </c>
      <c r="D9" s="5">
        <v>500119.0</v>
      </c>
      <c r="E9" s="5">
        <v>75.0</v>
      </c>
      <c r="F9" s="6">
        <f t="shared" si="1"/>
        <v>0.0001499643085</v>
      </c>
      <c r="G9" s="4">
        <f t="shared" si="2"/>
        <v>1716.322925</v>
      </c>
      <c r="H9" s="4">
        <f t="shared" si="3"/>
        <v>1739.516478</v>
      </c>
      <c r="I9" s="3">
        <v>74.0</v>
      </c>
      <c r="J9" s="4">
        <v>1.7762302E7</v>
      </c>
      <c r="K9" s="6">
        <f t="shared" si="4"/>
        <v>137.9872575</v>
      </c>
    </row>
    <row r="10" ht="17.25" customHeight="1">
      <c r="B10" s="3" t="s">
        <v>399</v>
      </c>
      <c r="C10" s="4">
        <v>72245.6709857624</v>
      </c>
      <c r="D10" s="5">
        <v>337208.0</v>
      </c>
      <c r="E10" s="5">
        <v>68.0</v>
      </c>
      <c r="F10" s="6">
        <f t="shared" si="1"/>
        <v>0.0002016559512</v>
      </c>
      <c r="G10" s="4">
        <f t="shared" si="2"/>
        <v>1062.436338</v>
      </c>
      <c r="H10" s="4">
        <f t="shared" si="3"/>
        <v>4013.648388</v>
      </c>
      <c r="I10" s="3">
        <v>18.0</v>
      </c>
      <c r="J10" s="4">
        <v>2141130.0</v>
      </c>
      <c r="K10" s="6">
        <f t="shared" si="4"/>
        <v>29.63679305</v>
      </c>
    </row>
    <row r="11" ht="17.25" customHeight="1">
      <c r="B11" s="3" t="s">
        <v>400</v>
      </c>
      <c r="C11" s="4">
        <v>69191.2343122417</v>
      </c>
      <c r="D11" s="5">
        <v>198900.0</v>
      </c>
      <c r="E11" s="5">
        <v>67.0</v>
      </c>
      <c r="F11" s="6">
        <f t="shared" si="1"/>
        <v>0.0003368526898</v>
      </c>
      <c r="G11" s="4">
        <f t="shared" si="2"/>
        <v>1032.70499</v>
      </c>
      <c r="H11" s="4">
        <f t="shared" si="3"/>
        <v>2231.9753</v>
      </c>
      <c r="I11" s="3">
        <v>31.0</v>
      </c>
      <c r="J11" s="4">
        <v>5620990.0</v>
      </c>
      <c r="K11" s="6">
        <f t="shared" si="4"/>
        <v>81.23846981</v>
      </c>
    </row>
    <row r="12" ht="17.25" customHeight="1">
      <c r="B12" s="3" t="s">
        <v>401</v>
      </c>
      <c r="C12" s="4">
        <v>66768.3938819307</v>
      </c>
      <c r="D12" s="5">
        <v>219415.0</v>
      </c>
      <c r="E12" s="5">
        <v>64.0</v>
      </c>
      <c r="F12" s="6">
        <f t="shared" si="1"/>
        <v>0.0002916847071</v>
      </c>
      <c r="G12" s="4">
        <f t="shared" si="2"/>
        <v>1043.256154</v>
      </c>
      <c r="H12" s="4">
        <f t="shared" si="3"/>
        <v>5564.032823</v>
      </c>
      <c r="I12" s="3">
        <v>12.0</v>
      </c>
      <c r="J12" s="4">
        <v>2139860.0</v>
      </c>
      <c r="K12" s="6">
        <f t="shared" si="4"/>
        <v>32.04899617</v>
      </c>
    </row>
    <row r="13" ht="17.25" customHeight="1">
      <c r="B13" s="3" t="s">
        <v>402</v>
      </c>
      <c r="C13" s="4">
        <v>44417.0057683058</v>
      </c>
      <c r="D13" s="5">
        <v>173381.0</v>
      </c>
      <c r="E13" s="5">
        <v>51.0</v>
      </c>
      <c r="F13" s="6">
        <f t="shared" si="1"/>
        <v>0.000294149878</v>
      </c>
      <c r="G13" s="4">
        <f t="shared" si="2"/>
        <v>870.9216817</v>
      </c>
      <c r="H13" s="4">
        <f t="shared" si="3"/>
        <v>7402.834295</v>
      </c>
      <c r="I13" s="3">
        <v>6.0</v>
      </c>
      <c r="J13" s="4">
        <v>3603100.0</v>
      </c>
      <c r="K13" s="6">
        <f t="shared" si="4"/>
        <v>81.11983097</v>
      </c>
    </row>
    <row r="14" ht="17.25" customHeight="1">
      <c r="B14" s="3" t="s">
        <v>403</v>
      </c>
      <c r="C14" s="4">
        <v>70047.3829664811</v>
      </c>
      <c r="D14" s="5">
        <v>257831.0</v>
      </c>
      <c r="E14" s="5">
        <v>43.0</v>
      </c>
      <c r="F14" s="6">
        <f t="shared" si="1"/>
        <v>0.0001667759114</v>
      </c>
      <c r="G14" s="4">
        <f t="shared" si="2"/>
        <v>1629.008906</v>
      </c>
      <c r="H14" s="4">
        <f t="shared" si="3"/>
        <v>2918.640957</v>
      </c>
      <c r="I14" s="3">
        <v>24.0</v>
      </c>
      <c r="J14" s="4">
        <v>4129246.0</v>
      </c>
      <c r="K14" s="6">
        <f t="shared" si="4"/>
        <v>58.9493258</v>
      </c>
    </row>
    <row r="15" ht="17.25" customHeight="1">
      <c r="B15" s="3" t="s">
        <v>404</v>
      </c>
      <c r="C15" s="4">
        <v>16319.9899946808</v>
      </c>
      <c r="D15" s="5">
        <v>54198.0</v>
      </c>
      <c r="E15" s="5">
        <v>16.0</v>
      </c>
      <c r="F15" s="6">
        <f t="shared" si="1"/>
        <v>0.0002952138455</v>
      </c>
      <c r="G15" s="4">
        <f t="shared" si="2"/>
        <v>1019.999375</v>
      </c>
      <c r="H15" s="4">
        <f t="shared" si="3"/>
        <v>16319.98999</v>
      </c>
      <c r="I15" s="3">
        <v>1.0</v>
      </c>
      <c r="J15" s="4">
        <v>197340.0</v>
      </c>
      <c r="K15" s="6">
        <f t="shared" si="4"/>
        <v>12.09191918</v>
      </c>
    </row>
    <row r="16" ht="17.25" customHeight="1">
      <c r="B16" s="3" t="s">
        <v>405</v>
      </c>
      <c r="C16" s="4">
        <v>10639.7995460985</v>
      </c>
      <c r="D16" s="5">
        <v>38240.0</v>
      </c>
      <c r="E16" s="5">
        <v>15.0</v>
      </c>
      <c r="F16" s="6">
        <f t="shared" si="1"/>
        <v>0.0003922594142</v>
      </c>
      <c r="G16" s="4">
        <f t="shared" si="2"/>
        <v>709.3199697</v>
      </c>
      <c r="H16" s="4">
        <f t="shared" si="3"/>
        <v>10639.79955</v>
      </c>
      <c r="I16" s="3">
        <v>1.0</v>
      </c>
      <c r="J16" s="4">
        <v>123800.0</v>
      </c>
      <c r="K16" s="6">
        <f t="shared" si="4"/>
        <v>11.63555756</v>
      </c>
    </row>
    <row r="17" ht="17.25" customHeight="1">
      <c r="B17" s="3" t="s">
        <v>406</v>
      </c>
      <c r="C17" s="4">
        <v>491351.597968003</v>
      </c>
      <c r="D17" s="5">
        <v>3378198.0</v>
      </c>
      <c r="E17" s="5">
        <v>854.0</v>
      </c>
      <c r="F17" s="6">
        <f t="shared" si="1"/>
        <v>0.0002527974974</v>
      </c>
      <c r="G17" s="4">
        <f t="shared" si="2"/>
        <v>575.3531592</v>
      </c>
      <c r="H17" s="4">
        <f t="shared" si="3"/>
        <v>1806.439698</v>
      </c>
      <c r="I17" s="3">
        <v>272.0</v>
      </c>
      <c r="J17" s="4">
        <v>3.6787652E7</v>
      </c>
      <c r="K17" s="6">
        <f t="shared" si="4"/>
        <v>74.87032128</v>
      </c>
    </row>
    <row r="18" ht="17.25" customHeight="1">
      <c r="B18" s="3" t="s">
        <v>407</v>
      </c>
      <c r="C18" s="4">
        <v>144539.209952278</v>
      </c>
      <c r="D18" s="5">
        <v>482446.0</v>
      </c>
      <c r="E18" s="5">
        <v>602.0</v>
      </c>
      <c r="F18" s="6">
        <f t="shared" si="1"/>
        <v>0.001247808045</v>
      </c>
      <c r="G18" s="4">
        <f t="shared" si="2"/>
        <v>240.0983554</v>
      </c>
      <c r="H18" s="4">
        <f t="shared" si="3"/>
        <v>6882.819522</v>
      </c>
      <c r="I18" s="3">
        <v>21.0</v>
      </c>
      <c r="J18" s="4">
        <v>2189280.0</v>
      </c>
      <c r="K18" s="6">
        <f t="shared" si="4"/>
        <v>15.14661662</v>
      </c>
    </row>
    <row r="19" ht="17.25" customHeight="1">
      <c r="B19" s="3" t="s">
        <v>408</v>
      </c>
      <c r="C19" s="4">
        <v>189606.672158602</v>
      </c>
      <c r="D19" s="5">
        <v>842038.0</v>
      </c>
      <c r="E19" s="5">
        <v>510.0</v>
      </c>
      <c r="F19" s="6">
        <f t="shared" si="1"/>
        <v>0.0006056733782</v>
      </c>
      <c r="G19" s="4">
        <f t="shared" si="2"/>
        <v>371.7777885</v>
      </c>
      <c r="H19" s="4">
        <f t="shared" si="3"/>
        <v>4309.242549</v>
      </c>
      <c r="I19" s="3">
        <v>44.0</v>
      </c>
      <c r="J19" s="4">
        <v>4799160.0</v>
      </c>
      <c r="K19" s="6">
        <f t="shared" si="4"/>
        <v>25.3111346</v>
      </c>
    </row>
    <row r="20" ht="17.25" customHeight="1">
      <c r="B20" s="3" t="s">
        <v>409</v>
      </c>
      <c r="C20" s="4">
        <v>190436.365040075</v>
      </c>
      <c r="D20" s="5">
        <v>840228.0</v>
      </c>
      <c r="E20" s="5">
        <v>409.0</v>
      </c>
      <c r="F20" s="6">
        <f t="shared" si="1"/>
        <v>0.0004867726379</v>
      </c>
      <c r="G20" s="4">
        <f t="shared" si="2"/>
        <v>465.6145845</v>
      </c>
      <c r="H20" s="4">
        <f t="shared" si="3"/>
        <v>1573.854257</v>
      </c>
      <c r="I20" s="3">
        <v>121.0</v>
      </c>
      <c r="J20" s="4">
        <v>1.7857758E7</v>
      </c>
      <c r="K20" s="6">
        <f t="shared" si="4"/>
        <v>93.77283586</v>
      </c>
    </row>
    <row r="21" ht="17.25" customHeight="1">
      <c r="B21" s="3" t="s">
        <v>410</v>
      </c>
      <c r="C21" s="4">
        <v>124867.028002376</v>
      </c>
      <c r="D21" s="5">
        <v>756182.0</v>
      </c>
      <c r="E21" s="5">
        <v>196.0</v>
      </c>
      <c r="F21" s="6">
        <f t="shared" si="1"/>
        <v>0.00025919686</v>
      </c>
      <c r="G21" s="4">
        <f t="shared" si="2"/>
        <v>637.0766735</v>
      </c>
      <c r="H21" s="4">
        <f t="shared" si="3"/>
        <v>1982.016317</v>
      </c>
      <c r="I21" s="3">
        <v>63.0</v>
      </c>
      <c r="J21" s="4">
        <v>8185960.0</v>
      </c>
      <c r="K21" s="6">
        <f t="shared" si="4"/>
        <v>65.55741841</v>
      </c>
    </row>
    <row r="22" ht="17.25" customHeight="1">
      <c r="B22" s="3" t="s">
        <v>411</v>
      </c>
      <c r="C22" s="4">
        <v>66522.8279970836</v>
      </c>
      <c r="D22" s="5">
        <v>315182.0</v>
      </c>
      <c r="E22" s="5">
        <v>123.0</v>
      </c>
      <c r="F22" s="6">
        <f t="shared" si="1"/>
        <v>0.0003902507123</v>
      </c>
      <c r="G22" s="4">
        <f t="shared" si="2"/>
        <v>540.836</v>
      </c>
      <c r="H22" s="4">
        <f t="shared" si="3"/>
        <v>1900.652228</v>
      </c>
      <c r="I22" s="3">
        <v>35.0</v>
      </c>
      <c r="J22" s="4">
        <v>4494430.0</v>
      </c>
      <c r="K22" s="6">
        <f t="shared" si="4"/>
        <v>67.5622209</v>
      </c>
    </row>
    <row r="23" ht="17.25" customHeight="1">
      <c r="B23" s="3" t="s">
        <v>412</v>
      </c>
      <c r="C23" s="4">
        <v>0.25977993762</v>
      </c>
      <c r="D23" s="5">
        <v>2.0</v>
      </c>
      <c r="E23" s="5">
        <v>0.0</v>
      </c>
      <c r="F23" s="6">
        <f t="shared" si="1"/>
        <v>0</v>
      </c>
      <c r="G23" s="4">
        <f t="shared" si="2"/>
        <v>0</v>
      </c>
      <c r="H23" s="4">
        <f t="shared" si="3"/>
        <v>0</v>
      </c>
      <c r="I23" s="3">
        <v>0.0</v>
      </c>
      <c r="J23" s="4">
        <v>0.0</v>
      </c>
      <c r="K23" s="6">
        <f t="shared" si="4"/>
        <v>0</v>
      </c>
    </row>
    <row r="24" ht="17.25" customHeight="1">
      <c r="B24" s="3" t="s">
        <v>413</v>
      </c>
      <c r="C24" s="4">
        <v>0.45803048361</v>
      </c>
      <c r="D24" s="5">
        <v>1.0</v>
      </c>
      <c r="E24" s="5">
        <v>0.0</v>
      </c>
      <c r="F24" s="6">
        <f t="shared" si="1"/>
        <v>0</v>
      </c>
      <c r="G24" s="4">
        <f t="shared" si="2"/>
        <v>0</v>
      </c>
      <c r="H24" s="4">
        <f t="shared" si="3"/>
        <v>0</v>
      </c>
      <c r="I24" s="3">
        <v>0.0</v>
      </c>
      <c r="J24" s="4">
        <v>0.0</v>
      </c>
      <c r="K24" s="6">
        <f t="shared" si="4"/>
        <v>0</v>
      </c>
    </row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0.88"/>
    <col customWidth="1" min="3" max="3" width="9.5"/>
    <col customWidth="1" min="4" max="4" width="7.88"/>
    <col customWidth="1" min="5" max="6" width="9.5"/>
    <col customWidth="1" min="7" max="7" width="11.25"/>
    <col customWidth="1" min="8" max="8" width="7.88"/>
    <col customWidth="1" min="9" max="26" width="7.63"/>
  </cols>
  <sheetData>
    <row r="1" ht="17.25" customHeight="1">
      <c r="B1" s="1" t="s">
        <v>0</v>
      </c>
      <c r="C1" s="7"/>
      <c r="D1" s="7"/>
      <c r="E1" s="7"/>
      <c r="F1" s="8"/>
      <c r="H1" s="7"/>
    </row>
    <row r="2" ht="48.0" customHeight="1">
      <c r="B2" s="2" t="s">
        <v>1</v>
      </c>
      <c r="C2" s="9" t="s">
        <v>414</v>
      </c>
      <c r="D2" s="9" t="s">
        <v>415</v>
      </c>
      <c r="E2" s="9" t="s">
        <v>416</v>
      </c>
      <c r="F2" s="10" t="s">
        <v>417</v>
      </c>
      <c r="G2" s="2" t="s">
        <v>418</v>
      </c>
      <c r="H2" s="9" t="s">
        <v>8</v>
      </c>
    </row>
    <row r="3" ht="17.25" customHeight="1">
      <c r="B3" s="3" t="s">
        <v>11</v>
      </c>
      <c r="C3" s="11">
        <v>4.0</v>
      </c>
      <c r="D3" s="11">
        <v>4.0</v>
      </c>
      <c r="E3" s="11">
        <v>1.0</v>
      </c>
      <c r="F3" s="6">
        <f t="shared" ref="F3:F400" si="1">IFERROR((E3/D3),0)</f>
        <v>0.25</v>
      </c>
      <c r="G3" s="12">
        <v>1.5</v>
      </c>
      <c r="H3" s="11">
        <v>0.0</v>
      </c>
    </row>
    <row r="4" ht="17.25" customHeight="1">
      <c r="B4" s="3" t="s">
        <v>12</v>
      </c>
      <c r="C4" s="11">
        <v>1.0</v>
      </c>
      <c r="D4" s="11">
        <v>1.0</v>
      </c>
      <c r="E4" s="11">
        <v>0.0</v>
      </c>
      <c r="F4" s="6">
        <f t="shared" si="1"/>
        <v>0</v>
      </c>
      <c r="G4" s="12">
        <v>5.116666666666666</v>
      </c>
      <c r="H4" s="11">
        <v>0.0</v>
      </c>
    </row>
    <row r="5" ht="17.25" customHeight="1">
      <c r="B5" s="3" t="s">
        <v>13</v>
      </c>
      <c r="C5" s="11">
        <v>2.0</v>
      </c>
      <c r="D5" s="11">
        <v>2.0</v>
      </c>
      <c r="E5" s="11">
        <v>0.0</v>
      </c>
      <c r="F5" s="6">
        <f t="shared" si="1"/>
        <v>0</v>
      </c>
      <c r="G5" s="12">
        <v>2.4285714285714284</v>
      </c>
      <c r="H5" s="11">
        <v>0.0</v>
      </c>
    </row>
    <row r="6" ht="17.25" customHeight="1">
      <c r="B6" s="3" t="s">
        <v>14</v>
      </c>
      <c r="C6" s="11">
        <v>16.0</v>
      </c>
      <c r="D6" s="11">
        <v>16.0</v>
      </c>
      <c r="E6" s="11">
        <v>3.0</v>
      </c>
      <c r="F6" s="6">
        <f t="shared" si="1"/>
        <v>0.1875</v>
      </c>
      <c r="G6" s="12">
        <v>1.0</v>
      </c>
      <c r="H6" s="11">
        <v>0.0</v>
      </c>
    </row>
    <row r="7" ht="17.25" customHeight="1">
      <c r="B7" s="3" t="s">
        <v>15</v>
      </c>
      <c r="C7" s="11">
        <v>2.0</v>
      </c>
      <c r="D7" s="11">
        <v>2.0</v>
      </c>
      <c r="E7" s="11">
        <v>0.0</v>
      </c>
      <c r="F7" s="6">
        <f t="shared" si="1"/>
        <v>0</v>
      </c>
      <c r="G7" s="12">
        <v>1.0</v>
      </c>
      <c r="H7" s="11">
        <v>0.0</v>
      </c>
    </row>
    <row r="8" ht="17.25" customHeight="1">
      <c r="B8" s="3" t="s">
        <v>16</v>
      </c>
      <c r="C8" s="11">
        <v>130.0</v>
      </c>
      <c r="D8" s="11">
        <v>132.0</v>
      </c>
      <c r="E8" s="11">
        <v>87.0</v>
      </c>
      <c r="F8" s="6">
        <f t="shared" si="1"/>
        <v>0.6590909091</v>
      </c>
      <c r="G8" s="12">
        <v>3.212121212121212</v>
      </c>
      <c r="H8" s="11">
        <v>1.0</v>
      </c>
    </row>
    <row r="9" ht="17.25" customHeight="1">
      <c r="B9" s="3" t="s">
        <v>17</v>
      </c>
      <c r="C9" s="11">
        <v>2.0</v>
      </c>
      <c r="D9" s="11">
        <v>2.0</v>
      </c>
      <c r="E9" s="11">
        <v>1.0</v>
      </c>
      <c r="F9" s="6">
        <f t="shared" si="1"/>
        <v>0.5</v>
      </c>
      <c r="G9" s="12">
        <v>1.8</v>
      </c>
      <c r="H9" s="11">
        <v>0.0</v>
      </c>
    </row>
    <row r="10" ht="17.25" customHeight="1">
      <c r="B10" s="3" t="s">
        <v>419</v>
      </c>
      <c r="C10" s="11">
        <v>1.0</v>
      </c>
      <c r="D10" s="11">
        <v>1.0</v>
      </c>
      <c r="E10" s="11">
        <v>1.0</v>
      </c>
      <c r="F10" s="6">
        <f t="shared" si="1"/>
        <v>1</v>
      </c>
      <c r="G10" s="12">
        <v>1.5527065527065527</v>
      </c>
      <c r="H10" s="11">
        <v>0.0</v>
      </c>
    </row>
    <row r="11" ht="17.25" customHeight="1">
      <c r="B11" s="3" t="s">
        <v>18</v>
      </c>
      <c r="C11" s="11">
        <v>1.0</v>
      </c>
      <c r="D11" s="11">
        <v>1.0</v>
      </c>
      <c r="E11" s="11">
        <v>1.0</v>
      </c>
      <c r="F11" s="6">
        <f t="shared" si="1"/>
        <v>1</v>
      </c>
      <c r="G11" s="12">
        <v>1.0</v>
      </c>
      <c r="H11" s="11">
        <v>0.0</v>
      </c>
    </row>
    <row r="12" ht="17.25" customHeight="1">
      <c r="B12" s="3" t="s">
        <v>19</v>
      </c>
      <c r="C12" s="11">
        <v>13.0</v>
      </c>
      <c r="D12" s="11">
        <v>13.0</v>
      </c>
      <c r="E12" s="11">
        <v>7.0</v>
      </c>
      <c r="F12" s="6">
        <f t="shared" si="1"/>
        <v>0.5384615385</v>
      </c>
      <c r="G12" s="12">
        <v>3.9655172413793105</v>
      </c>
      <c r="H12" s="11">
        <v>0.0</v>
      </c>
    </row>
    <row r="13" ht="17.25" customHeight="1">
      <c r="B13" s="3" t="s">
        <v>20</v>
      </c>
      <c r="C13" s="11">
        <v>28.0</v>
      </c>
      <c r="D13" s="11">
        <v>28.0</v>
      </c>
      <c r="E13" s="11">
        <v>21.0</v>
      </c>
      <c r="F13" s="6">
        <f t="shared" si="1"/>
        <v>0.75</v>
      </c>
      <c r="G13" s="12">
        <v>1.0416666666666667</v>
      </c>
      <c r="H13" s="11">
        <v>0.0</v>
      </c>
    </row>
    <row r="14" ht="17.25" customHeight="1">
      <c r="B14" s="3" t="s">
        <v>21</v>
      </c>
      <c r="C14" s="11">
        <v>4.0</v>
      </c>
      <c r="D14" s="11">
        <v>4.0</v>
      </c>
      <c r="E14" s="11">
        <v>4.0</v>
      </c>
      <c r="F14" s="6">
        <f t="shared" si="1"/>
        <v>1</v>
      </c>
      <c r="G14" s="12">
        <v>3.0839285714285714</v>
      </c>
      <c r="H14" s="11">
        <v>0.0</v>
      </c>
    </row>
    <row r="15" ht="17.25" customHeight="1">
      <c r="B15" s="3" t="s">
        <v>22</v>
      </c>
      <c r="C15" s="11">
        <v>14.0</v>
      </c>
      <c r="D15" s="11">
        <v>14.0</v>
      </c>
      <c r="E15" s="11">
        <v>9.0</v>
      </c>
      <c r="F15" s="6">
        <f t="shared" si="1"/>
        <v>0.6428571429</v>
      </c>
      <c r="G15" s="12">
        <v>1.0</v>
      </c>
      <c r="H15" s="11">
        <v>0.0</v>
      </c>
    </row>
    <row r="16" ht="17.25" customHeight="1">
      <c r="B16" s="3" t="s">
        <v>23</v>
      </c>
      <c r="C16" s="11">
        <v>1.0</v>
      </c>
      <c r="D16" s="11">
        <v>1.0</v>
      </c>
      <c r="E16" s="11">
        <v>1.0</v>
      </c>
      <c r="F16" s="6">
        <f t="shared" si="1"/>
        <v>1</v>
      </c>
      <c r="G16" s="12">
        <v>1.0</v>
      </c>
      <c r="H16" s="11">
        <v>0.0</v>
      </c>
    </row>
    <row r="17" ht="17.25" customHeight="1">
      <c r="B17" s="3" t="s">
        <v>24</v>
      </c>
      <c r="C17" s="11">
        <v>2.0</v>
      </c>
      <c r="D17" s="11">
        <v>2.0</v>
      </c>
      <c r="E17" s="11">
        <v>2.0</v>
      </c>
      <c r="F17" s="6">
        <f t="shared" si="1"/>
        <v>1</v>
      </c>
      <c r="G17" s="12">
        <v>2.291666666666667</v>
      </c>
      <c r="H17" s="11">
        <v>0.0</v>
      </c>
    </row>
    <row r="18" ht="17.25" customHeight="1">
      <c r="B18" s="3" t="s">
        <v>25</v>
      </c>
      <c r="C18" s="11">
        <v>3.0</v>
      </c>
      <c r="D18" s="11">
        <v>3.0</v>
      </c>
      <c r="E18" s="11">
        <v>3.0</v>
      </c>
      <c r="F18" s="6">
        <f t="shared" si="1"/>
        <v>1</v>
      </c>
      <c r="G18" s="12">
        <v>1.0</v>
      </c>
      <c r="H18" s="11">
        <v>0.0</v>
      </c>
    </row>
    <row r="19" ht="17.25" customHeight="1">
      <c r="B19" s="3" t="s">
        <v>420</v>
      </c>
      <c r="C19" s="11">
        <v>1.0</v>
      </c>
      <c r="D19" s="11">
        <v>1.0</v>
      </c>
      <c r="E19" s="11">
        <v>1.0</v>
      </c>
      <c r="F19" s="6">
        <f t="shared" si="1"/>
        <v>1</v>
      </c>
      <c r="G19" s="12">
        <v>1.0</v>
      </c>
      <c r="H19" s="11">
        <v>0.0</v>
      </c>
    </row>
    <row r="20" ht="17.25" customHeight="1">
      <c r="B20" s="3" t="s">
        <v>26</v>
      </c>
      <c r="C20" s="11">
        <v>15.0</v>
      </c>
      <c r="D20" s="11">
        <v>15.0</v>
      </c>
      <c r="E20" s="11">
        <v>5.0</v>
      </c>
      <c r="F20" s="6">
        <f t="shared" si="1"/>
        <v>0.3333333333</v>
      </c>
      <c r="G20" s="12">
        <v>4.0</v>
      </c>
      <c r="H20" s="11">
        <v>0.0</v>
      </c>
    </row>
    <row r="21" ht="17.25" customHeight="1">
      <c r="B21" s="3" t="s">
        <v>27</v>
      </c>
      <c r="C21" s="11">
        <v>25.0</v>
      </c>
      <c r="D21" s="11">
        <v>25.0</v>
      </c>
      <c r="E21" s="11">
        <v>8.0</v>
      </c>
      <c r="F21" s="6">
        <f t="shared" si="1"/>
        <v>0.32</v>
      </c>
      <c r="G21" s="12">
        <v>1.725</v>
      </c>
      <c r="H21" s="11">
        <v>0.0</v>
      </c>
    </row>
    <row r="22" ht="17.25" customHeight="1">
      <c r="B22" s="3" t="s">
        <v>28</v>
      </c>
      <c r="C22" s="11">
        <v>1.0</v>
      </c>
      <c r="D22" s="11">
        <v>1.0</v>
      </c>
      <c r="E22" s="11">
        <v>0.0</v>
      </c>
      <c r="F22" s="6">
        <f t="shared" si="1"/>
        <v>0</v>
      </c>
      <c r="G22" s="12">
        <v>1.0</v>
      </c>
      <c r="H22" s="11">
        <v>0.0</v>
      </c>
    </row>
    <row r="23" ht="17.25" customHeight="1">
      <c r="B23" s="3" t="s">
        <v>29</v>
      </c>
      <c r="C23" s="11">
        <v>36.0</v>
      </c>
      <c r="D23" s="11">
        <v>36.0</v>
      </c>
      <c r="E23" s="11">
        <v>17.0</v>
      </c>
      <c r="F23" s="6">
        <f t="shared" si="1"/>
        <v>0.4722222222</v>
      </c>
      <c r="G23" s="12">
        <v>1.0</v>
      </c>
      <c r="H23" s="11">
        <v>0.0</v>
      </c>
    </row>
    <row r="24" ht="17.25" customHeight="1">
      <c r="B24" s="3" t="s">
        <v>30</v>
      </c>
      <c r="C24" s="11">
        <v>19.0</v>
      </c>
      <c r="D24" s="11">
        <v>22.0</v>
      </c>
      <c r="E24" s="11">
        <v>12.0</v>
      </c>
      <c r="F24" s="6">
        <f t="shared" si="1"/>
        <v>0.5454545455</v>
      </c>
      <c r="G24" s="12">
        <v>1.3333333333333333</v>
      </c>
      <c r="H24" s="11">
        <v>0.0</v>
      </c>
    </row>
    <row r="25" ht="17.25" customHeight="1">
      <c r="B25" s="3" t="s">
        <v>31</v>
      </c>
      <c r="C25" s="11">
        <v>1.0</v>
      </c>
      <c r="D25" s="11">
        <v>1.0</v>
      </c>
      <c r="E25" s="11">
        <v>1.0</v>
      </c>
      <c r="F25" s="6">
        <f t="shared" si="1"/>
        <v>1</v>
      </c>
      <c r="G25" s="12">
        <v>6.0</v>
      </c>
      <c r="H25" s="11">
        <v>0.0</v>
      </c>
    </row>
    <row r="26" ht="17.25" customHeight="1">
      <c r="B26" s="3" t="s">
        <v>32</v>
      </c>
      <c r="C26" s="11">
        <v>43.0</v>
      </c>
      <c r="D26" s="11">
        <v>43.0</v>
      </c>
      <c r="E26" s="11">
        <v>30.0</v>
      </c>
      <c r="F26" s="6">
        <f t="shared" si="1"/>
        <v>0.6976744186</v>
      </c>
      <c r="G26" s="12">
        <v>1.0</v>
      </c>
      <c r="H26" s="11">
        <v>0.0</v>
      </c>
    </row>
    <row r="27" ht="17.25" customHeight="1">
      <c r="B27" s="3" t="s">
        <v>33</v>
      </c>
      <c r="C27" s="11">
        <v>40.0</v>
      </c>
      <c r="D27" s="11">
        <v>40.0</v>
      </c>
      <c r="E27" s="11">
        <v>28.0</v>
      </c>
      <c r="F27" s="6">
        <f t="shared" si="1"/>
        <v>0.7</v>
      </c>
      <c r="G27" s="12">
        <v>3.5</v>
      </c>
      <c r="H27" s="11">
        <v>0.0</v>
      </c>
    </row>
    <row r="28" ht="17.25" customHeight="1">
      <c r="B28" s="3" t="s">
        <v>34</v>
      </c>
      <c r="C28" s="11">
        <v>1.0</v>
      </c>
      <c r="D28" s="11">
        <v>1.0</v>
      </c>
      <c r="E28" s="11">
        <v>0.0</v>
      </c>
      <c r="F28" s="6">
        <f t="shared" si="1"/>
        <v>0</v>
      </c>
      <c r="G28" s="12">
        <v>2.0</v>
      </c>
      <c r="H28" s="11">
        <v>0.0</v>
      </c>
    </row>
    <row r="29" ht="17.25" customHeight="1">
      <c r="B29" s="3" t="s">
        <v>35</v>
      </c>
      <c r="C29" s="11">
        <v>3.0</v>
      </c>
      <c r="D29" s="11">
        <v>4.0</v>
      </c>
      <c r="E29" s="11">
        <v>3.0</v>
      </c>
      <c r="F29" s="6">
        <f t="shared" si="1"/>
        <v>0.75</v>
      </c>
      <c r="G29" s="12">
        <v>1.3333333333333333</v>
      </c>
      <c r="H29" s="11">
        <v>0.0</v>
      </c>
    </row>
    <row r="30" ht="17.25" customHeight="1">
      <c r="B30" s="3" t="s">
        <v>36</v>
      </c>
      <c r="C30" s="11">
        <v>1.0</v>
      </c>
      <c r="D30" s="11">
        <v>1.0</v>
      </c>
      <c r="E30" s="11">
        <v>1.0</v>
      </c>
      <c r="F30" s="6">
        <f t="shared" si="1"/>
        <v>1</v>
      </c>
      <c r="G30" s="12">
        <v>2.875</v>
      </c>
      <c r="H30" s="11">
        <v>0.0</v>
      </c>
    </row>
    <row r="31" ht="17.25" customHeight="1">
      <c r="B31" s="3" t="s">
        <v>37</v>
      </c>
      <c r="C31" s="11">
        <v>3.0</v>
      </c>
      <c r="D31" s="11">
        <v>3.0</v>
      </c>
      <c r="E31" s="11">
        <v>3.0</v>
      </c>
      <c r="F31" s="6">
        <f t="shared" si="1"/>
        <v>1</v>
      </c>
      <c r="G31" s="12">
        <v>2.966666666666667</v>
      </c>
      <c r="H31" s="11">
        <v>0.0</v>
      </c>
    </row>
    <row r="32" ht="17.25" customHeight="1">
      <c r="B32" s="3" t="s">
        <v>38</v>
      </c>
      <c r="C32" s="11">
        <v>3.0</v>
      </c>
      <c r="D32" s="11">
        <v>3.0</v>
      </c>
      <c r="E32" s="11">
        <v>1.0</v>
      </c>
      <c r="F32" s="6">
        <f t="shared" si="1"/>
        <v>0.3333333333</v>
      </c>
      <c r="G32" s="12">
        <v>1.5</v>
      </c>
      <c r="H32" s="11">
        <v>0.0</v>
      </c>
    </row>
    <row r="33" ht="17.25" customHeight="1">
      <c r="B33" s="3" t="s">
        <v>421</v>
      </c>
      <c r="C33" s="11">
        <v>1.0</v>
      </c>
      <c r="D33" s="11">
        <v>1.0</v>
      </c>
      <c r="E33" s="11">
        <v>1.0</v>
      </c>
      <c r="F33" s="6">
        <f t="shared" si="1"/>
        <v>1</v>
      </c>
      <c r="G33" s="12">
        <v>4.4</v>
      </c>
      <c r="H33" s="11">
        <v>0.0</v>
      </c>
    </row>
    <row r="34" ht="17.25" customHeight="1">
      <c r="B34" s="3" t="s">
        <v>39</v>
      </c>
      <c r="C34" s="11">
        <v>1.0</v>
      </c>
      <c r="D34" s="11">
        <v>1.0</v>
      </c>
      <c r="E34" s="11">
        <v>1.0</v>
      </c>
      <c r="F34" s="6">
        <f t="shared" si="1"/>
        <v>1</v>
      </c>
      <c r="G34" s="12">
        <v>1.0</v>
      </c>
      <c r="H34" s="11">
        <v>0.0</v>
      </c>
    </row>
    <row r="35" ht="17.25" customHeight="1">
      <c r="B35" s="3" t="s">
        <v>40</v>
      </c>
      <c r="C35" s="11">
        <v>4.0</v>
      </c>
      <c r="D35" s="11">
        <v>5.0</v>
      </c>
      <c r="E35" s="11">
        <v>4.0</v>
      </c>
      <c r="F35" s="6">
        <f t="shared" si="1"/>
        <v>0.8</v>
      </c>
      <c r="G35" s="12">
        <v>3.0</v>
      </c>
      <c r="H35" s="11">
        <v>0.0</v>
      </c>
    </row>
    <row r="36" ht="17.25" customHeight="1">
      <c r="B36" s="3" t="s">
        <v>41</v>
      </c>
      <c r="C36" s="11">
        <v>1.0</v>
      </c>
      <c r="D36" s="11">
        <v>1.0</v>
      </c>
      <c r="E36" s="11">
        <v>0.0</v>
      </c>
      <c r="F36" s="6">
        <f t="shared" si="1"/>
        <v>0</v>
      </c>
      <c r="G36" s="12">
        <v>7.0</v>
      </c>
      <c r="H36" s="11">
        <v>0.0</v>
      </c>
    </row>
    <row r="37" ht="17.25" customHeight="1">
      <c r="B37" s="3" t="s">
        <v>42</v>
      </c>
      <c r="C37" s="11">
        <v>13.0</v>
      </c>
      <c r="D37" s="11">
        <v>13.0</v>
      </c>
      <c r="E37" s="11">
        <v>8.0</v>
      </c>
      <c r="F37" s="6">
        <f t="shared" si="1"/>
        <v>0.6153846154</v>
      </c>
      <c r="G37" s="12">
        <v>4.55</v>
      </c>
      <c r="H37" s="11">
        <v>0.0</v>
      </c>
    </row>
    <row r="38" ht="17.25" customHeight="1">
      <c r="B38" s="3" t="s">
        <v>43</v>
      </c>
      <c r="C38" s="11">
        <v>40.0</v>
      </c>
      <c r="D38" s="11">
        <v>40.0</v>
      </c>
      <c r="E38" s="11">
        <v>22.0</v>
      </c>
      <c r="F38" s="6">
        <f t="shared" si="1"/>
        <v>0.55</v>
      </c>
      <c r="G38" s="12">
        <v>12.125</v>
      </c>
      <c r="H38" s="11">
        <v>0.0</v>
      </c>
    </row>
    <row r="39" ht="17.25" customHeight="1">
      <c r="B39" s="3" t="s">
        <v>44</v>
      </c>
      <c r="C39" s="11">
        <v>39.0</v>
      </c>
      <c r="D39" s="11">
        <v>43.0</v>
      </c>
      <c r="E39" s="11">
        <v>25.0</v>
      </c>
      <c r="F39" s="6">
        <f t="shared" si="1"/>
        <v>0.5813953488</v>
      </c>
      <c r="G39" s="12">
        <v>2.3333333333333335</v>
      </c>
      <c r="H39" s="11">
        <v>0.0</v>
      </c>
    </row>
    <row r="40" ht="17.25" customHeight="1">
      <c r="B40" s="3" t="s">
        <v>422</v>
      </c>
      <c r="C40" s="11">
        <v>1.0</v>
      </c>
      <c r="D40" s="11">
        <v>1.0</v>
      </c>
      <c r="E40" s="11">
        <v>1.0</v>
      </c>
      <c r="F40" s="6">
        <f t="shared" si="1"/>
        <v>1</v>
      </c>
      <c r="G40" s="12">
        <v>5.333333333333333</v>
      </c>
      <c r="H40" s="11">
        <v>0.0</v>
      </c>
    </row>
    <row r="41" ht="17.25" customHeight="1">
      <c r="B41" s="3" t="s">
        <v>45</v>
      </c>
      <c r="C41" s="11">
        <v>1.0</v>
      </c>
      <c r="D41" s="11">
        <v>2.0</v>
      </c>
      <c r="E41" s="11">
        <v>2.0</v>
      </c>
      <c r="F41" s="6">
        <f t="shared" si="1"/>
        <v>1</v>
      </c>
      <c r="G41" s="12">
        <v>1.3333333333333333</v>
      </c>
      <c r="H41" s="11">
        <v>0.0</v>
      </c>
    </row>
    <row r="42" ht="17.25" customHeight="1">
      <c r="B42" s="3" t="s">
        <v>46</v>
      </c>
      <c r="C42" s="11">
        <v>5.0</v>
      </c>
      <c r="D42" s="11">
        <v>5.0</v>
      </c>
      <c r="E42" s="11">
        <v>2.0</v>
      </c>
      <c r="F42" s="6">
        <f t="shared" si="1"/>
        <v>0.4</v>
      </c>
      <c r="G42" s="12">
        <v>1.7142857142857142</v>
      </c>
      <c r="H42" s="11">
        <v>0.0</v>
      </c>
    </row>
    <row r="43" ht="17.25" customHeight="1">
      <c r="B43" s="3" t="s">
        <v>47</v>
      </c>
      <c r="C43" s="11">
        <v>2.0</v>
      </c>
      <c r="D43" s="11">
        <v>2.0</v>
      </c>
      <c r="E43" s="11">
        <v>2.0</v>
      </c>
      <c r="F43" s="6">
        <f t="shared" si="1"/>
        <v>1</v>
      </c>
      <c r="G43" s="12">
        <v>1.0</v>
      </c>
      <c r="H43" s="11">
        <v>0.0</v>
      </c>
    </row>
    <row r="44" ht="17.25" customHeight="1">
      <c r="B44" s="3" t="s">
        <v>48</v>
      </c>
      <c r="C44" s="11">
        <v>9.0</v>
      </c>
      <c r="D44" s="11">
        <v>9.0</v>
      </c>
      <c r="E44" s="11">
        <v>7.0</v>
      </c>
      <c r="F44" s="6">
        <f t="shared" si="1"/>
        <v>0.7777777778</v>
      </c>
      <c r="G44" s="12">
        <v>2.0</v>
      </c>
      <c r="H44" s="11">
        <v>0.0</v>
      </c>
    </row>
    <row r="45" ht="17.25" customHeight="1">
      <c r="B45" s="3" t="s">
        <v>49</v>
      </c>
      <c r="C45" s="11">
        <v>1.0</v>
      </c>
      <c r="D45" s="11">
        <v>1.0</v>
      </c>
      <c r="E45" s="11">
        <v>1.0</v>
      </c>
      <c r="F45" s="6">
        <f t="shared" si="1"/>
        <v>1</v>
      </c>
      <c r="G45" s="12">
        <v>2.0</v>
      </c>
      <c r="H45" s="11">
        <v>0.0</v>
      </c>
    </row>
    <row r="46" ht="17.25" customHeight="1">
      <c r="B46" s="3" t="s">
        <v>50</v>
      </c>
      <c r="C46" s="11">
        <v>6.0</v>
      </c>
      <c r="D46" s="11">
        <v>6.0</v>
      </c>
      <c r="E46" s="11">
        <v>4.0</v>
      </c>
      <c r="F46" s="6">
        <f t="shared" si="1"/>
        <v>0.6666666667</v>
      </c>
      <c r="G46" s="12">
        <v>2.0</v>
      </c>
      <c r="H46" s="11">
        <v>0.0</v>
      </c>
    </row>
    <row r="47" ht="17.25" customHeight="1">
      <c r="B47" s="3" t="s">
        <v>51</v>
      </c>
      <c r="C47" s="11">
        <v>41.0</v>
      </c>
      <c r="D47" s="11">
        <v>41.0</v>
      </c>
      <c r="E47" s="11">
        <v>17.0</v>
      </c>
      <c r="F47" s="6">
        <f t="shared" si="1"/>
        <v>0.4146341463</v>
      </c>
      <c r="G47" s="12">
        <v>2.0</v>
      </c>
      <c r="H47" s="11">
        <v>0.0</v>
      </c>
    </row>
    <row r="48" ht="17.25" customHeight="1">
      <c r="B48" s="3" t="s">
        <v>52</v>
      </c>
      <c r="C48" s="11">
        <v>12.0</v>
      </c>
      <c r="D48" s="11">
        <v>12.0</v>
      </c>
      <c r="E48" s="11">
        <v>8.0</v>
      </c>
      <c r="F48" s="6">
        <f t="shared" si="1"/>
        <v>0.6666666667</v>
      </c>
      <c r="G48" s="12">
        <v>1.0</v>
      </c>
      <c r="H48" s="11">
        <v>0.0</v>
      </c>
    </row>
    <row r="49" ht="17.25" customHeight="1">
      <c r="B49" s="3" t="s">
        <v>53</v>
      </c>
      <c r="C49" s="11">
        <v>1.0</v>
      </c>
      <c r="D49" s="11">
        <v>1.0</v>
      </c>
      <c r="E49" s="11">
        <v>1.0</v>
      </c>
      <c r="F49" s="6">
        <f t="shared" si="1"/>
        <v>1</v>
      </c>
      <c r="G49" s="12">
        <v>15.0</v>
      </c>
      <c r="H49" s="11">
        <v>0.0</v>
      </c>
    </row>
    <row r="50" ht="17.25" customHeight="1">
      <c r="B50" s="3" t="s">
        <v>54</v>
      </c>
      <c r="C50" s="11">
        <v>3.0</v>
      </c>
      <c r="D50" s="11">
        <v>3.0</v>
      </c>
      <c r="E50" s="11">
        <v>0.0</v>
      </c>
      <c r="F50" s="6">
        <f t="shared" si="1"/>
        <v>0</v>
      </c>
      <c r="G50" s="12">
        <v>1.0</v>
      </c>
      <c r="H50" s="11">
        <v>0.0</v>
      </c>
    </row>
    <row r="51" ht="17.25" customHeight="1">
      <c r="B51" s="3" t="s">
        <v>55</v>
      </c>
      <c r="C51" s="11">
        <v>9.0</v>
      </c>
      <c r="D51" s="11">
        <v>9.0</v>
      </c>
      <c r="E51" s="11">
        <v>1.0</v>
      </c>
      <c r="F51" s="6">
        <f t="shared" si="1"/>
        <v>0.1111111111</v>
      </c>
      <c r="G51" s="12">
        <v>1.3333333333333333</v>
      </c>
      <c r="H51" s="11">
        <v>0.0</v>
      </c>
    </row>
    <row r="52" ht="17.25" customHeight="1">
      <c r="B52" s="3" t="s">
        <v>56</v>
      </c>
      <c r="C52" s="11">
        <v>2.0</v>
      </c>
      <c r="D52" s="11">
        <v>3.0</v>
      </c>
      <c r="E52" s="11">
        <v>1.0</v>
      </c>
      <c r="F52" s="6">
        <f t="shared" si="1"/>
        <v>0.3333333333</v>
      </c>
      <c r="G52" s="12">
        <v>1.6251474056603774</v>
      </c>
      <c r="H52" s="11">
        <v>0.0</v>
      </c>
    </row>
    <row r="53" ht="17.25" customHeight="1">
      <c r="B53" s="3" t="s">
        <v>57</v>
      </c>
      <c r="C53" s="11">
        <v>8.0</v>
      </c>
      <c r="D53" s="11">
        <v>8.0</v>
      </c>
      <c r="E53" s="11">
        <v>1.0</v>
      </c>
      <c r="F53" s="6">
        <f t="shared" si="1"/>
        <v>0.125</v>
      </c>
      <c r="G53" s="12">
        <v>4.452173913043478</v>
      </c>
      <c r="H53" s="11">
        <v>1.0</v>
      </c>
    </row>
    <row r="54" ht="17.25" customHeight="1">
      <c r="B54" s="3" t="s">
        <v>58</v>
      </c>
      <c r="C54" s="11">
        <v>1.0</v>
      </c>
      <c r="D54" s="11">
        <v>1.0</v>
      </c>
      <c r="E54" s="11">
        <v>0.0</v>
      </c>
      <c r="F54" s="6">
        <f t="shared" si="1"/>
        <v>0</v>
      </c>
      <c r="G54" s="12">
        <v>1.0</v>
      </c>
      <c r="H54" s="11">
        <v>0.0</v>
      </c>
    </row>
    <row r="55" ht="17.25" customHeight="1">
      <c r="B55" s="3" t="s">
        <v>59</v>
      </c>
      <c r="C55" s="11">
        <v>1.0</v>
      </c>
      <c r="D55" s="11">
        <v>1.0</v>
      </c>
      <c r="E55" s="11">
        <v>0.0</v>
      </c>
      <c r="F55" s="6">
        <f t="shared" si="1"/>
        <v>0</v>
      </c>
      <c r="G55" s="12">
        <v>1.0833333333333335</v>
      </c>
      <c r="H55" s="11">
        <v>0.0</v>
      </c>
    </row>
    <row r="56" ht="17.25" customHeight="1">
      <c r="B56" s="3" t="s">
        <v>60</v>
      </c>
      <c r="C56" s="11">
        <v>82.0</v>
      </c>
      <c r="D56" s="11">
        <v>82.0</v>
      </c>
      <c r="E56" s="11">
        <v>53.0</v>
      </c>
      <c r="F56" s="6">
        <f t="shared" si="1"/>
        <v>0.6463414634</v>
      </c>
      <c r="G56" s="12">
        <v>5.65625</v>
      </c>
      <c r="H56" s="11">
        <v>1.0</v>
      </c>
    </row>
    <row r="57" ht="17.25" customHeight="1">
      <c r="B57" s="3" t="s">
        <v>61</v>
      </c>
      <c r="C57" s="11">
        <v>1.0</v>
      </c>
      <c r="D57" s="11">
        <v>1.0</v>
      </c>
      <c r="E57" s="11">
        <v>1.0</v>
      </c>
      <c r="F57" s="6">
        <f t="shared" si="1"/>
        <v>1</v>
      </c>
      <c r="G57" s="12">
        <v>1.2333333333333334</v>
      </c>
      <c r="H57" s="11">
        <v>0.0</v>
      </c>
    </row>
    <row r="58" ht="17.25" customHeight="1">
      <c r="B58" s="3" t="s">
        <v>62</v>
      </c>
      <c r="C58" s="11">
        <v>117.0</v>
      </c>
      <c r="D58" s="11">
        <v>117.0</v>
      </c>
      <c r="E58" s="11">
        <v>85.0</v>
      </c>
      <c r="F58" s="6">
        <f t="shared" si="1"/>
        <v>0.7264957265</v>
      </c>
      <c r="G58" s="12">
        <v>1.4333333333333333</v>
      </c>
      <c r="H58" s="11">
        <v>0.0</v>
      </c>
    </row>
    <row r="59" ht="17.25" customHeight="1">
      <c r="B59" s="3" t="s">
        <v>63</v>
      </c>
      <c r="C59" s="11">
        <v>10.0</v>
      </c>
      <c r="D59" s="11">
        <v>10.0</v>
      </c>
      <c r="E59" s="11">
        <v>9.0</v>
      </c>
      <c r="F59" s="6">
        <f t="shared" si="1"/>
        <v>0.9</v>
      </c>
      <c r="G59" s="12">
        <v>1.8125</v>
      </c>
      <c r="H59" s="11">
        <v>0.0</v>
      </c>
    </row>
    <row r="60" ht="17.25" customHeight="1">
      <c r="B60" s="3" t="s">
        <v>64</v>
      </c>
      <c r="C60" s="11">
        <v>20.0</v>
      </c>
      <c r="D60" s="11">
        <v>20.0</v>
      </c>
      <c r="E60" s="11">
        <v>15.0</v>
      </c>
      <c r="F60" s="6">
        <f t="shared" si="1"/>
        <v>0.75</v>
      </c>
      <c r="G60" s="12">
        <v>1.3846153846153846</v>
      </c>
      <c r="H60" s="11">
        <v>0.0</v>
      </c>
    </row>
    <row r="61" ht="17.25" customHeight="1">
      <c r="B61" s="3" t="s">
        <v>65</v>
      </c>
      <c r="C61" s="11">
        <v>1.0</v>
      </c>
      <c r="D61" s="11">
        <v>1.0</v>
      </c>
      <c r="E61" s="11">
        <v>0.0</v>
      </c>
      <c r="F61" s="6">
        <f t="shared" si="1"/>
        <v>0</v>
      </c>
      <c r="G61" s="12">
        <v>3.533333333333333</v>
      </c>
      <c r="H61" s="11">
        <v>1.0</v>
      </c>
    </row>
    <row r="62" ht="17.25" customHeight="1">
      <c r="B62" s="3" t="s">
        <v>66</v>
      </c>
      <c r="C62" s="11">
        <v>66.0</v>
      </c>
      <c r="D62" s="11">
        <v>72.0</v>
      </c>
      <c r="E62" s="11">
        <v>23.0</v>
      </c>
      <c r="F62" s="6">
        <f t="shared" si="1"/>
        <v>0.3194444444</v>
      </c>
      <c r="G62" s="12">
        <v>1.0</v>
      </c>
      <c r="H62" s="11">
        <v>0.0</v>
      </c>
    </row>
    <row r="63" ht="17.25" customHeight="1">
      <c r="B63" s="3" t="s">
        <v>67</v>
      </c>
      <c r="C63" s="11">
        <v>7.0</v>
      </c>
      <c r="D63" s="11">
        <v>7.0</v>
      </c>
      <c r="E63" s="11">
        <v>2.0</v>
      </c>
      <c r="F63" s="6">
        <f t="shared" si="1"/>
        <v>0.2857142857</v>
      </c>
      <c r="G63" s="12">
        <v>3.691724941724942</v>
      </c>
      <c r="H63" s="11">
        <v>0.0</v>
      </c>
    </row>
    <row r="64" ht="17.25" customHeight="1">
      <c r="B64" s="3" t="s">
        <v>423</v>
      </c>
      <c r="C64" s="11">
        <v>2.0</v>
      </c>
      <c r="D64" s="11">
        <v>2.0</v>
      </c>
      <c r="E64" s="11">
        <v>1.0</v>
      </c>
      <c r="F64" s="6">
        <f t="shared" si="1"/>
        <v>0.5</v>
      </c>
      <c r="G64" s="12">
        <v>1.5</v>
      </c>
      <c r="H64" s="11">
        <v>0.0</v>
      </c>
    </row>
    <row r="65" ht="17.25" customHeight="1">
      <c r="B65" s="3" t="s">
        <v>68</v>
      </c>
      <c r="C65" s="11">
        <v>1.0</v>
      </c>
      <c r="D65" s="11">
        <v>1.0</v>
      </c>
      <c r="E65" s="11">
        <v>0.0</v>
      </c>
      <c r="F65" s="6">
        <f t="shared" si="1"/>
        <v>0</v>
      </c>
      <c r="G65" s="12">
        <v>1.75</v>
      </c>
      <c r="H65" s="11">
        <v>0.0</v>
      </c>
    </row>
    <row r="66" ht="17.25" customHeight="1">
      <c r="B66" s="3" t="s">
        <v>69</v>
      </c>
      <c r="C66" s="11">
        <v>14.0</v>
      </c>
      <c r="D66" s="11">
        <v>14.0</v>
      </c>
      <c r="E66" s="11">
        <v>10.0</v>
      </c>
      <c r="F66" s="6">
        <f t="shared" si="1"/>
        <v>0.7142857143</v>
      </c>
      <c r="G66" s="12">
        <v>7.0</v>
      </c>
      <c r="H66" s="11">
        <v>0.0</v>
      </c>
    </row>
    <row r="67" ht="17.25" customHeight="1">
      <c r="B67" s="3" t="s">
        <v>70</v>
      </c>
      <c r="C67" s="11">
        <v>74.0</v>
      </c>
      <c r="D67" s="11">
        <v>75.0</v>
      </c>
      <c r="E67" s="11">
        <v>59.0</v>
      </c>
      <c r="F67" s="6">
        <f t="shared" si="1"/>
        <v>0.7866666667</v>
      </c>
      <c r="G67" s="12">
        <v>1.5</v>
      </c>
      <c r="H67" s="11">
        <v>0.0</v>
      </c>
    </row>
    <row r="68" ht="17.25" customHeight="1">
      <c r="B68" s="3" t="s">
        <v>71</v>
      </c>
      <c r="C68" s="11">
        <v>59.0</v>
      </c>
      <c r="D68" s="11">
        <v>60.0</v>
      </c>
      <c r="E68" s="11">
        <v>41.0</v>
      </c>
      <c r="F68" s="6">
        <f t="shared" si="1"/>
        <v>0.6833333333</v>
      </c>
      <c r="G68" s="12">
        <v>1.0</v>
      </c>
      <c r="H68" s="11">
        <v>0.0</v>
      </c>
    </row>
    <row r="69" ht="17.25" customHeight="1">
      <c r="B69" s="3" t="s">
        <v>72</v>
      </c>
      <c r="C69" s="11">
        <v>47.0</v>
      </c>
      <c r="D69" s="11">
        <v>49.0</v>
      </c>
      <c r="E69" s="11">
        <v>35.0</v>
      </c>
      <c r="F69" s="6">
        <f t="shared" si="1"/>
        <v>0.7142857143</v>
      </c>
      <c r="G69" s="12">
        <v>3.0</v>
      </c>
      <c r="H69" s="11">
        <v>0.0</v>
      </c>
    </row>
    <row r="70" ht="17.25" customHeight="1">
      <c r="B70" s="3" t="s">
        <v>73</v>
      </c>
      <c r="C70" s="11">
        <v>1.0</v>
      </c>
      <c r="D70" s="11">
        <v>1.0</v>
      </c>
      <c r="E70" s="11">
        <v>0.0</v>
      </c>
      <c r="F70" s="6">
        <f t="shared" si="1"/>
        <v>0</v>
      </c>
      <c r="G70" s="12">
        <v>2.0</v>
      </c>
      <c r="H70" s="11">
        <v>0.0</v>
      </c>
    </row>
    <row r="71" ht="17.25" customHeight="1">
      <c r="B71" s="3" t="s">
        <v>74</v>
      </c>
      <c r="C71" s="11">
        <v>2.0</v>
      </c>
      <c r="D71" s="11">
        <v>2.0</v>
      </c>
      <c r="E71" s="11">
        <v>1.0</v>
      </c>
      <c r="F71" s="6">
        <f t="shared" si="1"/>
        <v>0.5</v>
      </c>
      <c r="G71" s="12">
        <v>1.4285714285714286</v>
      </c>
      <c r="H71" s="11">
        <v>0.0</v>
      </c>
    </row>
    <row r="72" ht="17.25" customHeight="1">
      <c r="B72" s="3" t="s">
        <v>75</v>
      </c>
      <c r="C72" s="11">
        <v>8.0</v>
      </c>
      <c r="D72" s="11">
        <v>8.0</v>
      </c>
      <c r="E72" s="11">
        <v>6.0</v>
      </c>
      <c r="F72" s="6">
        <f t="shared" si="1"/>
        <v>0.75</v>
      </c>
      <c r="G72" s="12">
        <v>2.785920925747348</v>
      </c>
      <c r="H72" s="11">
        <v>0.0</v>
      </c>
    </row>
    <row r="73" ht="17.25" customHeight="1">
      <c r="B73" s="3" t="s">
        <v>76</v>
      </c>
      <c r="C73" s="11">
        <v>5.0</v>
      </c>
      <c r="D73" s="11">
        <v>5.0</v>
      </c>
      <c r="E73" s="11">
        <v>5.0</v>
      </c>
      <c r="F73" s="6">
        <f t="shared" si="1"/>
        <v>1</v>
      </c>
      <c r="G73" s="12">
        <v>1.5219298245614035</v>
      </c>
      <c r="H73" s="11">
        <v>0.0</v>
      </c>
    </row>
    <row r="74" ht="17.25" customHeight="1">
      <c r="B74" s="3" t="s">
        <v>77</v>
      </c>
      <c r="C74" s="11">
        <v>3.0</v>
      </c>
      <c r="D74" s="11">
        <v>3.0</v>
      </c>
      <c r="E74" s="11">
        <v>2.0</v>
      </c>
      <c r="F74" s="6">
        <f t="shared" si="1"/>
        <v>0.6666666667</v>
      </c>
      <c r="G74" s="12">
        <v>1.782258064516129</v>
      </c>
      <c r="H74" s="11">
        <v>0.0</v>
      </c>
    </row>
    <row r="75" ht="17.25" customHeight="1">
      <c r="B75" s="3" t="s">
        <v>78</v>
      </c>
      <c r="C75" s="11">
        <v>9.0</v>
      </c>
      <c r="D75" s="11">
        <v>9.0</v>
      </c>
      <c r="E75" s="11">
        <v>2.0</v>
      </c>
      <c r="F75" s="6">
        <f t="shared" si="1"/>
        <v>0.2222222222</v>
      </c>
      <c r="G75" s="12">
        <v>2.2111111111111112</v>
      </c>
      <c r="H75" s="11">
        <v>0.0</v>
      </c>
    </row>
    <row r="76" ht="17.25" customHeight="1">
      <c r="B76" s="3" t="s">
        <v>79</v>
      </c>
      <c r="C76" s="11">
        <v>1.0</v>
      </c>
      <c r="D76" s="11">
        <v>1.0</v>
      </c>
      <c r="E76" s="11">
        <v>0.0</v>
      </c>
      <c r="F76" s="6">
        <f t="shared" si="1"/>
        <v>0</v>
      </c>
      <c r="G76" s="12">
        <v>1.0</v>
      </c>
      <c r="H76" s="11">
        <v>0.0</v>
      </c>
    </row>
    <row r="77" ht="17.25" customHeight="1">
      <c r="B77" s="3" t="s">
        <v>80</v>
      </c>
      <c r="C77" s="11">
        <v>3.0</v>
      </c>
      <c r="D77" s="11">
        <v>3.0</v>
      </c>
      <c r="E77" s="11">
        <v>2.0</v>
      </c>
      <c r="F77" s="6">
        <f t="shared" si="1"/>
        <v>0.6666666667</v>
      </c>
      <c r="G77" s="12">
        <v>1.647129186602871</v>
      </c>
      <c r="H77" s="11">
        <v>0.0</v>
      </c>
    </row>
    <row r="78" ht="17.25" customHeight="1">
      <c r="B78" s="3" t="s">
        <v>81</v>
      </c>
      <c r="C78" s="11">
        <v>3.0</v>
      </c>
      <c r="D78" s="11">
        <v>3.0</v>
      </c>
      <c r="E78" s="11">
        <v>2.0</v>
      </c>
      <c r="F78" s="6">
        <f t="shared" si="1"/>
        <v>0.6666666667</v>
      </c>
      <c r="G78" s="12">
        <v>1.0</v>
      </c>
      <c r="H78" s="11">
        <v>0.0</v>
      </c>
    </row>
    <row r="79" ht="17.25" customHeight="1">
      <c r="B79" s="3" t="s">
        <v>82</v>
      </c>
      <c r="C79" s="11">
        <v>38.0</v>
      </c>
      <c r="D79" s="11">
        <v>39.0</v>
      </c>
      <c r="E79" s="11">
        <v>33.0</v>
      </c>
      <c r="F79" s="6">
        <f t="shared" si="1"/>
        <v>0.8461538462</v>
      </c>
      <c r="G79" s="12">
        <v>2.0</v>
      </c>
      <c r="H79" s="11">
        <v>0.0</v>
      </c>
    </row>
    <row r="80" ht="17.25" customHeight="1">
      <c r="B80" s="3" t="s">
        <v>83</v>
      </c>
      <c r="C80" s="11">
        <v>5.0</v>
      </c>
      <c r="D80" s="11">
        <v>5.0</v>
      </c>
      <c r="E80" s="11">
        <v>5.0</v>
      </c>
      <c r="F80" s="6">
        <f t="shared" si="1"/>
        <v>1</v>
      </c>
      <c r="G80" s="12">
        <v>3.296546546546547</v>
      </c>
      <c r="H80" s="11">
        <v>0.0</v>
      </c>
    </row>
    <row r="81" ht="17.25" customHeight="1">
      <c r="B81" s="3" t="s">
        <v>84</v>
      </c>
      <c r="C81" s="11">
        <v>6.0</v>
      </c>
      <c r="D81" s="11">
        <v>6.0</v>
      </c>
      <c r="E81" s="11">
        <v>4.0</v>
      </c>
      <c r="F81" s="6">
        <f t="shared" si="1"/>
        <v>0.6666666667</v>
      </c>
      <c r="G81" s="12">
        <v>2.0</v>
      </c>
      <c r="H81" s="11">
        <v>0.0</v>
      </c>
    </row>
    <row r="82" ht="17.25" customHeight="1">
      <c r="B82" s="3" t="s">
        <v>85</v>
      </c>
      <c r="C82" s="11">
        <v>53.0</v>
      </c>
      <c r="D82" s="11">
        <v>53.0</v>
      </c>
      <c r="E82" s="11">
        <v>41.0</v>
      </c>
      <c r="F82" s="6">
        <f t="shared" si="1"/>
        <v>0.7735849057</v>
      </c>
      <c r="G82" s="12">
        <v>4.0</v>
      </c>
      <c r="H82" s="11">
        <v>0.0</v>
      </c>
    </row>
    <row r="83" ht="17.25" customHeight="1">
      <c r="B83" s="3" t="s">
        <v>86</v>
      </c>
      <c r="C83" s="11">
        <v>9.0</v>
      </c>
      <c r="D83" s="11">
        <v>9.0</v>
      </c>
      <c r="E83" s="11">
        <v>5.0</v>
      </c>
      <c r="F83" s="6">
        <f t="shared" si="1"/>
        <v>0.5555555556</v>
      </c>
      <c r="G83" s="12">
        <v>1.8571428571428572</v>
      </c>
      <c r="H83" s="11">
        <v>0.0</v>
      </c>
    </row>
    <row r="84" ht="17.25" customHeight="1">
      <c r="B84" s="3" t="s">
        <v>87</v>
      </c>
      <c r="C84" s="11">
        <v>4.0</v>
      </c>
      <c r="D84" s="11">
        <v>4.0</v>
      </c>
      <c r="E84" s="11">
        <v>4.0</v>
      </c>
      <c r="F84" s="6">
        <f t="shared" si="1"/>
        <v>1</v>
      </c>
      <c r="G84" s="12">
        <v>2.371624938635248</v>
      </c>
      <c r="H84" s="11">
        <v>0.0</v>
      </c>
    </row>
    <row r="85" ht="17.25" customHeight="1">
      <c r="B85" s="3" t="s">
        <v>88</v>
      </c>
      <c r="C85" s="11">
        <v>15.0</v>
      </c>
      <c r="D85" s="11">
        <v>15.0</v>
      </c>
      <c r="E85" s="11">
        <v>11.0</v>
      </c>
      <c r="F85" s="6">
        <f t="shared" si="1"/>
        <v>0.7333333333</v>
      </c>
      <c r="G85" s="12">
        <v>1.0</v>
      </c>
      <c r="H85" s="11">
        <v>0.0</v>
      </c>
    </row>
    <row r="86" ht="17.25" customHeight="1">
      <c r="B86" s="3" t="s">
        <v>89</v>
      </c>
      <c r="C86" s="11">
        <v>3.0</v>
      </c>
      <c r="D86" s="11">
        <v>2.0</v>
      </c>
      <c r="E86" s="11">
        <v>1.0</v>
      </c>
      <c r="F86" s="6">
        <f t="shared" si="1"/>
        <v>0.5</v>
      </c>
      <c r="G86" s="12">
        <v>1.0</v>
      </c>
      <c r="H86" s="11">
        <v>0.0</v>
      </c>
    </row>
    <row r="87" ht="17.25" customHeight="1">
      <c r="B87" s="3" t="s">
        <v>90</v>
      </c>
      <c r="C87" s="11">
        <v>1.0</v>
      </c>
      <c r="D87" s="11">
        <v>1.0</v>
      </c>
      <c r="E87" s="11">
        <v>0.0</v>
      </c>
      <c r="F87" s="6">
        <f t="shared" si="1"/>
        <v>0</v>
      </c>
      <c r="G87" s="12">
        <v>1.5</v>
      </c>
      <c r="H87" s="11">
        <v>0.0</v>
      </c>
    </row>
    <row r="88" ht="17.25" customHeight="1">
      <c r="B88" s="3" t="s">
        <v>91</v>
      </c>
      <c r="C88" s="11">
        <v>1.0</v>
      </c>
      <c r="D88" s="11">
        <v>1.0</v>
      </c>
      <c r="E88" s="11">
        <v>1.0</v>
      </c>
      <c r="F88" s="6">
        <f t="shared" si="1"/>
        <v>1</v>
      </c>
      <c r="G88" s="12">
        <v>4.348888888888888</v>
      </c>
      <c r="H88" s="11">
        <v>0.0</v>
      </c>
    </row>
    <row r="89" ht="17.25" customHeight="1">
      <c r="B89" s="3" t="s">
        <v>92</v>
      </c>
      <c r="C89" s="11">
        <v>110.0</v>
      </c>
      <c r="D89" s="11">
        <v>111.0</v>
      </c>
      <c r="E89" s="11">
        <v>56.0</v>
      </c>
      <c r="F89" s="6">
        <f t="shared" si="1"/>
        <v>0.5045045045</v>
      </c>
      <c r="G89" s="12">
        <v>5.714285714285714</v>
      </c>
      <c r="H89" s="11">
        <v>0.0</v>
      </c>
    </row>
    <row r="90" ht="17.25" customHeight="1">
      <c r="B90" s="3" t="s">
        <v>424</v>
      </c>
      <c r="C90" s="11">
        <v>1.0</v>
      </c>
      <c r="D90" s="11">
        <v>1.0</v>
      </c>
      <c r="E90" s="11">
        <v>0.0</v>
      </c>
      <c r="F90" s="6">
        <f t="shared" si="1"/>
        <v>0</v>
      </c>
      <c r="G90" s="12">
        <v>2.5</v>
      </c>
      <c r="H90" s="11">
        <v>0.0</v>
      </c>
    </row>
    <row r="91" ht="17.25" customHeight="1">
      <c r="B91" s="3" t="s">
        <v>93</v>
      </c>
      <c r="C91" s="11">
        <v>21.0</v>
      </c>
      <c r="D91" s="11">
        <v>21.0</v>
      </c>
      <c r="E91" s="11">
        <v>16.0</v>
      </c>
      <c r="F91" s="6">
        <f t="shared" si="1"/>
        <v>0.7619047619</v>
      </c>
      <c r="G91" s="12">
        <v>6.0</v>
      </c>
      <c r="H91" s="11">
        <v>0.0</v>
      </c>
    </row>
    <row r="92" ht="17.25" customHeight="1">
      <c r="B92" s="3" t="s">
        <v>94</v>
      </c>
      <c r="C92" s="11">
        <v>4.0</v>
      </c>
      <c r="D92" s="11">
        <v>4.0</v>
      </c>
      <c r="E92" s="11">
        <v>2.0</v>
      </c>
      <c r="F92" s="6">
        <f t="shared" si="1"/>
        <v>0.5</v>
      </c>
      <c r="G92" s="12">
        <v>2.1666666666666665</v>
      </c>
      <c r="H92" s="11">
        <v>0.0</v>
      </c>
    </row>
    <row r="93" ht="17.25" customHeight="1">
      <c r="B93" s="3" t="s">
        <v>95</v>
      </c>
      <c r="C93" s="11">
        <v>8.0</v>
      </c>
      <c r="D93" s="11">
        <v>9.0</v>
      </c>
      <c r="E93" s="11">
        <v>4.0</v>
      </c>
      <c r="F93" s="6">
        <f t="shared" si="1"/>
        <v>0.4444444444</v>
      </c>
      <c r="G93" s="12">
        <v>1.6666666666666667</v>
      </c>
      <c r="H93" s="11">
        <v>0.0</v>
      </c>
    </row>
    <row r="94" ht="17.25" customHeight="1">
      <c r="B94" s="3" t="s">
        <v>96</v>
      </c>
      <c r="C94" s="11">
        <v>7.0</v>
      </c>
      <c r="D94" s="11">
        <v>7.0</v>
      </c>
      <c r="E94" s="11">
        <v>7.0</v>
      </c>
      <c r="F94" s="6">
        <f t="shared" si="1"/>
        <v>1</v>
      </c>
      <c r="G94" s="12">
        <v>2.8055555555555554</v>
      </c>
      <c r="H94" s="11">
        <v>0.0</v>
      </c>
    </row>
    <row r="95" ht="17.25" customHeight="1">
      <c r="B95" s="3" t="s">
        <v>97</v>
      </c>
      <c r="C95" s="11">
        <v>1.0</v>
      </c>
      <c r="D95" s="11">
        <v>1.0</v>
      </c>
      <c r="E95" s="11">
        <v>1.0</v>
      </c>
      <c r="F95" s="6">
        <f t="shared" si="1"/>
        <v>1</v>
      </c>
      <c r="G95" s="12">
        <v>1.25</v>
      </c>
      <c r="H95" s="11">
        <v>0.0</v>
      </c>
    </row>
    <row r="96" ht="17.25" customHeight="1">
      <c r="B96" s="3" t="s">
        <v>98</v>
      </c>
      <c r="C96" s="11">
        <v>4.0</v>
      </c>
      <c r="D96" s="11">
        <v>4.0</v>
      </c>
      <c r="E96" s="11">
        <v>2.0</v>
      </c>
      <c r="F96" s="6">
        <f t="shared" si="1"/>
        <v>0.5</v>
      </c>
      <c r="G96" s="12">
        <v>3.6958333333333337</v>
      </c>
      <c r="H96" s="11">
        <v>0.0</v>
      </c>
    </row>
    <row r="97" ht="17.25" customHeight="1">
      <c r="B97" s="3" t="s">
        <v>99</v>
      </c>
      <c r="C97" s="11">
        <v>15.0</v>
      </c>
      <c r="D97" s="11">
        <v>15.0</v>
      </c>
      <c r="E97" s="11">
        <v>12.0</v>
      </c>
      <c r="F97" s="6">
        <f t="shared" si="1"/>
        <v>0.8</v>
      </c>
      <c r="G97" s="12">
        <v>2.7105263157894735</v>
      </c>
      <c r="H97" s="11">
        <v>0.0</v>
      </c>
    </row>
    <row r="98" ht="17.25" customHeight="1">
      <c r="B98" s="3" t="s">
        <v>100</v>
      </c>
      <c r="C98" s="11">
        <v>21.0</v>
      </c>
      <c r="D98" s="11">
        <v>21.0</v>
      </c>
      <c r="E98" s="11">
        <v>21.0</v>
      </c>
      <c r="F98" s="6">
        <f t="shared" si="1"/>
        <v>1</v>
      </c>
      <c r="G98" s="12">
        <v>2.6</v>
      </c>
      <c r="H98" s="11">
        <v>0.0</v>
      </c>
    </row>
    <row r="99" ht="17.25" customHeight="1">
      <c r="B99" s="3" t="s">
        <v>101</v>
      </c>
      <c r="C99" s="11">
        <v>53.0</v>
      </c>
      <c r="D99" s="11">
        <v>53.0</v>
      </c>
      <c r="E99" s="11">
        <v>48.0</v>
      </c>
      <c r="F99" s="6">
        <f t="shared" si="1"/>
        <v>0.9056603774</v>
      </c>
      <c r="G99" s="12">
        <v>1.0</v>
      </c>
      <c r="H99" s="11">
        <v>0.0</v>
      </c>
    </row>
    <row r="100" ht="17.25" customHeight="1">
      <c r="B100" s="3" t="s">
        <v>102</v>
      </c>
      <c r="C100" s="11">
        <v>16.0</v>
      </c>
      <c r="D100" s="11">
        <v>16.0</v>
      </c>
      <c r="E100" s="11">
        <v>15.0</v>
      </c>
      <c r="F100" s="6">
        <f t="shared" si="1"/>
        <v>0.9375</v>
      </c>
      <c r="G100" s="12">
        <v>1.3333333333333333</v>
      </c>
      <c r="H100" s="11">
        <v>0.0</v>
      </c>
    </row>
    <row r="101" ht="17.25" customHeight="1">
      <c r="B101" s="3" t="s">
        <v>103</v>
      </c>
      <c r="C101" s="11">
        <v>5.0</v>
      </c>
      <c r="D101" s="11">
        <v>5.0</v>
      </c>
      <c r="E101" s="11">
        <v>5.0</v>
      </c>
      <c r="F101" s="6">
        <f t="shared" si="1"/>
        <v>1</v>
      </c>
      <c r="G101" s="12">
        <v>2.5</v>
      </c>
      <c r="H101" s="11">
        <v>0.0</v>
      </c>
    </row>
    <row r="102" ht="17.25" customHeight="1">
      <c r="B102" s="3" t="s">
        <v>104</v>
      </c>
      <c r="C102" s="11">
        <v>2.0</v>
      </c>
      <c r="D102" s="11">
        <v>2.0</v>
      </c>
      <c r="E102" s="11">
        <v>1.0</v>
      </c>
      <c r="F102" s="6">
        <f t="shared" si="1"/>
        <v>0.5</v>
      </c>
      <c r="G102" s="12">
        <v>2.0</v>
      </c>
      <c r="H102" s="11">
        <v>0.0</v>
      </c>
    </row>
    <row r="103" ht="17.25" customHeight="1">
      <c r="B103" s="3" t="s">
        <v>105</v>
      </c>
      <c r="C103" s="11">
        <v>33.0</v>
      </c>
      <c r="D103" s="11">
        <v>34.0</v>
      </c>
      <c r="E103" s="11">
        <v>11.0</v>
      </c>
      <c r="F103" s="6">
        <f t="shared" si="1"/>
        <v>0.3235294118</v>
      </c>
      <c r="G103" s="12">
        <v>5.419354838709678</v>
      </c>
      <c r="H103" s="11">
        <v>1.0</v>
      </c>
    </row>
    <row r="104" ht="17.25" customHeight="1">
      <c r="B104" s="3" t="s">
        <v>106</v>
      </c>
      <c r="C104" s="11">
        <v>72.0</v>
      </c>
      <c r="D104" s="11">
        <v>76.0</v>
      </c>
      <c r="E104" s="11">
        <v>36.0</v>
      </c>
      <c r="F104" s="6">
        <f t="shared" si="1"/>
        <v>0.4736842105</v>
      </c>
      <c r="G104" s="12">
        <v>1.7380952380952381</v>
      </c>
      <c r="H104" s="11">
        <v>1.0</v>
      </c>
    </row>
    <row r="105" ht="17.25" customHeight="1">
      <c r="B105" s="3" t="s">
        <v>107</v>
      </c>
      <c r="C105" s="11">
        <v>1.0</v>
      </c>
      <c r="D105" s="11">
        <v>1.0</v>
      </c>
      <c r="E105" s="11">
        <v>1.0</v>
      </c>
      <c r="F105" s="6">
        <f t="shared" si="1"/>
        <v>1</v>
      </c>
      <c r="G105" s="12">
        <v>1.5633333333333335</v>
      </c>
      <c r="H105" s="11">
        <v>0.0</v>
      </c>
    </row>
    <row r="106" ht="17.25" customHeight="1">
      <c r="B106" s="3" t="s">
        <v>425</v>
      </c>
      <c r="C106" s="11">
        <v>1.0</v>
      </c>
      <c r="D106" s="11">
        <v>1.0</v>
      </c>
      <c r="E106" s="11">
        <v>1.0</v>
      </c>
      <c r="F106" s="6">
        <f t="shared" si="1"/>
        <v>1</v>
      </c>
      <c r="G106" s="12">
        <v>3.1666666666666665</v>
      </c>
      <c r="H106" s="11">
        <v>0.0</v>
      </c>
    </row>
    <row r="107" ht="17.25" customHeight="1">
      <c r="B107" s="3" t="s">
        <v>108</v>
      </c>
      <c r="C107" s="11">
        <v>187.0</v>
      </c>
      <c r="D107" s="11">
        <v>190.0</v>
      </c>
      <c r="E107" s="11">
        <v>133.0</v>
      </c>
      <c r="F107" s="6">
        <f t="shared" si="1"/>
        <v>0.7</v>
      </c>
      <c r="G107" s="12">
        <v>3.1875</v>
      </c>
      <c r="H107" s="11">
        <v>0.0</v>
      </c>
    </row>
    <row r="108" ht="17.25" customHeight="1">
      <c r="B108" s="3" t="s">
        <v>109</v>
      </c>
      <c r="C108" s="11">
        <v>5.0</v>
      </c>
      <c r="D108" s="11">
        <v>5.0</v>
      </c>
      <c r="E108" s="11">
        <v>3.0</v>
      </c>
      <c r="F108" s="6">
        <f t="shared" si="1"/>
        <v>0.6</v>
      </c>
      <c r="G108" s="12">
        <v>6.136363636363637</v>
      </c>
      <c r="H108" s="11">
        <v>0.0</v>
      </c>
    </row>
    <row r="109" ht="17.25" customHeight="1">
      <c r="B109" s="3" t="s">
        <v>110</v>
      </c>
      <c r="C109" s="11">
        <v>27.0</v>
      </c>
      <c r="D109" s="11">
        <v>27.0</v>
      </c>
      <c r="E109" s="11">
        <v>25.0</v>
      </c>
      <c r="F109" s="6">
        <f t="shared" si="1"/>
        <v>0.9259259259</v>
      </c>
      <c r="G109" s="12">
        <v>1.0</v>
      </c>
      <c r="H109" s="11">
        <v>0.0</v>
      </c>
    </row>
    <row r="110" ht="17.25" customHeight="1">
      <c r="B110" s="3" t="s">
        <v>111</v>
      </c>
      <c r="C110" s="11">
        <v>1.0</v>
      </c>
      <c r="D110" s="11">
        <v>1.0</v>
      </c>
      <c r="E110" s="11">
        <v>1.0</v>
      </c>
      <c r="F110" s="6">
        <f t="shared" si="1"/>
        <v>1</v>
      </c>
      <c r="G110" s="12">
        <v>6.5</v>
      </c>
      <c r="H110" s="11">
        <v>0.0</v>
      </c>
    </row>
    <row r="111" ht="17.25" customHeight="1">
      <c r="B111" s="3" t="s">
        <v>112</v>
      </c>
      <c r="C111" s="11">
        <v>2.0</v>
      </c>
      <c r="D111" s="11">
        <v>2.0</v>
      </c>
      <c r="E111" s="11">
        <v>1.0</v>
      </c>
      <c r="F111" s="6">
        <f t="shared" si="1"/>
        <v>0.5</v>
      </c>
      <c r="G111" s="12">
        <v>1.4</v>
      </c>
      <c r="H111" s="11">
        <v>0.0</v>
      </c>
    </row>
    <row r="112" ht="17.25" customHeight="1">
      <c r="B112" s="3" t="s">
        <v>113</v>
      </c>
      <c r="C112" s="11">
        <v>1.0</v>
      </c>
      <c r="D112" s="11">
        <v>1.0</v>
      </c>
      <c r="E112" s="11">
        <v>0.0</v>
      </c>
      <c r="F112" s="6">
        <f t="shared" si="1"/>
        <v>0</v>
      </c>
      <c r="G112" s="12">
        <v>1.0</v>
      </c>
      <c r="H112" s="11">
        <v>0.0</v>
      </c>
    </row>
    <row r="113" ht="17.25" customHeight="1">
      <c r="B113" s="3" t="s">
        <v>114</v>
      </c>
      <c r="C113" s="11">
        <v>41.0</v>
      </c>
      <c r="D113" s="11">
        <v>41.0</v>
      </c>
      <c r="E113" s="11">
        <v>29.0</v>
      </c>
      <c r="F113" s="6">
        <f t="shared" si="1"/>
        <v>0.7073170732</v>
      </c>
      <c r="G113" s="12">
        <v>2.0</v>
      </c>
      <c r="H113" s="11">
        <v>0.0</v>
      </c>
    </row>
    <row r="114" ht="17.25" customHeight="1">
      <c r="B114" s="3" t="s">
        <v>115</v>
      </c>
      <c r="C114" s="11">
        <v>38.0</v>
      </c>
      <c r="D114" s="11">
        <v>40.0</v>
      </c>
      <c r="E114" s="11">
        <v>27.0</v>
      </c>
      <c r="F114" s="6">
        <f t="shared" si="1"/>
        <v>0.675</v>
      </c>
      <c r="G114" s="12">
        <v>1.0</v>
      </c>
      <c r="H114" s="11">
        <v>0.0</v>
      </c>
    </row>
    <row r="115" ht="17.25" customHeight="1">
      <c r="B115" s="3" t="s">
        <v>116</v>
      </c>
      <c r="C115" s="11">
        <v>2.0</v>
      </c>
      <c r="D115" s="11">
        <v>2.0</v>
      </c>
      <c r="E115" s="11">
        <v>2.0</v>
      </c>
      <c r="F115" s="6">
        <f t="shared" si="1"/>
        <v>1</v>
      </c>
      <c r="G115" s="12">
        <v>2.0</v>
      </c>
      <c r="H115" s="11">
        <v>0.0</v>
      </c>
    </row>
    <row r="116" ht="17.25" customHeight="1">
      <c r="B116" s="3" t="s">
        <v>117</v>
      </c>
      <c r="C116" s="11">
        <v>1.0</v>
      </c>
      <c r="D116" s="11">
        <v>1.0</v>
      </c>
      <c r="E116" s="11">
        <v>1.0</v>
      </c>
      <c r="F116" s="6">
        <f t="shared" si="1"/>
        <v>1</v>
      </c>
      <c r="G116" s="12">
        <v>2.0</v>
      </c>
      <c r="H116" s="11">
        <v>0.0</v>
      </c>
    </row>
    <row r="117" ht="17.25" customHeight="1">
      <c r="B117" s="3" t="s">
        <v>118</v>
      </c>
      <c r="C117" s="11">
        <v>4.0</v>
      </c>
      <c r="D117" s="11">
        <v>5.0</v>
      </c>
      <c r="E117" s="11">
        <v>3.0</v>
      </c>
      <c r="F117" s="6">
        <f t="shared" si="1"/>
        <v>0.6</v>
      </c>
      <c r="G117" s="12">
        <v>1.0</v>
      </c>
      <c r="H117" s="11">
        <v>0.0</v>
      </c>
    </row>
    <row r="118" ht="17.25" customHeight="1">
      <c r="B118" s="3" t="s">
        <v>119</v>
      </c>
      <c r="C118" s="11">
        <v>5.0</v>
      </c>
      <c r="D118" s="11">
        <v>5.0</v>
      </c>
      <c r="E118" s="11">
        <v>2.0</v>
      </c>
      <c r="F118" s="6">
        <f t="shared" si="1"/>
        <v>0.4</v>
      </c>
      <c r="G118" s="12">
        <v>2.5</v>
      </c>
      <c r="H118" s="11">
        <v>0.0</v>
      </c>
    </row>
    <row r="119" ht="17.25" customHeight="1">
      <c r="B119" s="3" t="s">
        <v>120</v>
      </c>
      <c r="C119" s="11">
        <v>2.0</v>
      </c>
      <c r="D119" s="11">
        <v>2.0</v>
      </c>
      <c r="E119" s="11">
        <v>0.0</v>
      </c>
      <c r="F119" s="6">
        <f t="shared" si="1"/>
        <v>0</v>
      </c>
      <c r="G119" s="12">
        <v>2.5945564516129034</v>
      </c>
      <c r="H119" s="11">
        <v>0.0</v>
      </c>
    </row>
    <row r="120" ht="17.25" customHeight="1">
      <c r="B120" s="3" t="s">
        <v>121</v>
      </c>
      <c r="C120" s="11">
        <v>2.0</v>
      </c>
      <c r="D120" s="11">
        <v>2.0</v>
      </c>
      <c r="E120" s="11">
        <v>0.0</v>
      </c>
      <c r="F120" s="6">
        <f t="shared" si="1"/>
        <v>0</v>
      </c>
      <c r="G120" s="12">
        <v>3.0</v>
      </c>
      <c r="H120" s="11">
        <v>0.0</v>
      </c>
    </row>
    <row r="121" ht="17.25" customHeight="1">
      <c r="B121" s="3" t="s">
        <v>122</v>
      </c>
      <c r="C121" s="11">
        <v>5.0</v>
      </c>
      <c r="D121" s="11">
        <v>5.0</v>
      </c>
      <c r="E121" s="11">
        <v>3.0</v>
      </c>
      <c r="F121" s="6">
        <f t="shared" si="1"/>
        <v>0.6</v>
      </c>
      <c r="G121" s="12">
        <v>2.0</v>
      </c>
      <c r="H121" s="11">
        <v>0.0</v>
      </c>
    </row>
    <row r="122" ht="17.25" customHeight="1">
      <c r="B122" s="3" t="s">
        <v>426</v>
      </c>
      <c r="C122" s="11">
        <v>2.0</v>
      </c>
      <c r="D122" s="11">
        <v>2.0</v>
      </c>
      <c r="E122" s="11">
        <v>0.0</v>
      </c>
      <c r="F122" s="6">
        <f t="shared" si="1"/>
        <v>0</v>
      </c>
      <c r="G122" s="12">
        <v>1.0</v>
      </c>
      <c r="H122" s="11">
        <v>0.0</v>
      </c>
    </row>
    <row r="123" ht="17.25" customHeight="1">
      <c r="B123" s="3" t="s">
        <v>123</v>
      </c>
      <c r="C123" s="11">
        <v>9.0</v>
      </c>
      <c r="D123" s="11">
        <v>11.0</v>
      </c>
      <c r="E123" s="11">
        <v>4.0</v>
      </c>
      <c r="F123" s="6">
        <f t="shared" si="1"/>
        <v>0.3636363636</v>
      </c>
      <c r="G123" s="12">
        <v>1.4134615384615383</v>
      </c>
      <c r="H123" s="11">
        <v>0.0</v>
      </c>
    </row>
    <row r="124" ht="17.25" customHeight="1">
      <c r="B124" s="3" t="s">
        <v>124</v>
      </c>
      <c r="C124" s="11">
        <v>1.0</v>
      </c>
      <c r="D124" s="11">
        <v>1.0</v>
      </c>
      <c r="E124" s="11">
        <v>0.0</v>
      </c>
      <c r="F124" s="6">
        <f t="shared" si="1"/>
        <v>0</v>
      </c>
      <c r="G124" s="12">
        <v>1.5</v>
      </c>
      <c r="H124" s="11">
        <v>0.0</v>
      </c>
    </row>
    <row r="125" ht="17.25" customHeight="1">
      <c r="B125" s="3" t="s">
        <v>125</v>
      </c>
      <c r="C125" s="11">
        <v>3.0</v>
      </c>
      <c r="D125" s="11">
        <v>4.0</v>
      </c>
      <c r="E125" s="11">
        <v>1.0</v>
      </c>
      <c r="F125" s="6">
        <f t="shared" si="1"/>
        <v>0.25</v>
      </c>
      <c r="G125" s="12">
        <v>2.0</v>
      </c>
      <c r="H125" s="11">
        <v>0.0</v>
      </c>
    </row>
    <row r="126" ht="17.25" customHeight="1">
      <c r="B126" s="3" t="s">
        <v>126</v>
      </c>
      <c r="C126" s="11">
        <v>54.0</v>
      </c>
      <c r="D126" s="11">
        <v>64.0</v>
      </c>
      <c r="E126" s="11">
        <v>17.0</v>
      </c>
      <c r="F126" s="6">
        <f t="shared" si="1"/>
        <v>0.265625</v>
      </c>
      <c r="G126" s="12">
        <v>1.2857142857142858</v>
      </c>
      <c r="H126" s="11">
        <v>0.0</v>
      </c>
    </row>
    <row r="127" ht="17.25" customHeight="1">
      <c r="B127" s="3" t="s">
        <v>127</v>
      </c>
      <c r="C127" s="11">
        <v>1.0</v>
      </c>
      <c r="D127" s="11">
        <v>1.0</v>
      </c>
      <c r="E127" s="11">
        <v>0.0</v>
      </c>
      <c r="F127" s="6">
        <f t="shared" si="1"/>
        <v>0</v>
      </c>
      <c r="G127" s="12">
        <v>1.9642857142857142</v>
      </c>
      <c r="H127" s="11">
        <v>0.0</v>
      </c>
    </row>
    <row r="128" ht="17.25" customHeight="1">
      <c r="B128" s="3" t="s">
        <v>128</v>
      </c>
      <c r="C128" s="11">
        <v>1.0</v>
      </c>
      <c r="D128" s="11">
        <v>1.0</v>
      </c>
      <c r="E128" s="11">
        <v>0.0</v>
      </c>
      <c r="F128" s="6">
        <f t="shared" si="1"/>
        <v>0</v>
      </c>
      <c r="G128" s="12">
        <v>1.0</v>
      </c>
      <c r="H128" s="11">
        <v>0.0</v>
      </c>
    </row>
    <row r="129" ht="17.25" customHeight="1">
      <c r="B129" s="3" t="s">
        <v>129</v>
      </c>
      <c r="C129" s="11">
        <v>6.0</v>
      </c>
      <c r="D129" s="11">
        <v>7.0</v>
      </c>
      <c r="E129" s="11">
        <v>0.0</v>
      </c>
      <c r="F129" s="6">
        <f t="shared" si="1"/>
        <v>0</v>
      </c>
      <c r="G129" s="12">
        <v>1.0</v>
      </c>
      <c r="H129" s="11">
        <v>0.0</v>
      </c>
    </row>
    <row r="130" ht="17.25" customHeight="1">
      <c r="B130" s="3" t="s">
        <v>130</v>
      </c>
      <c r="C130" s="11">
        <v>1.0</v>
      </c>
      <c r="D130" s="11">
        <v>1.0</v>
      </c>
      <c r="E130" s="11">
        <v>0.0</v>
      </c>
      <c r="F130" s="6">
        <f t="shared" si="1"/>
        <v>0</v>
      </c>
      <c r="G130" s="12">
        <v>1.8583333333333334</v>
      </c>
      <c r="H130" s="11">
        <v>0.0</v>
      </c>
    </row>
    <row r="131" ht="17.25" customHeight="1">
      <c r="B131" s="3" t="s">
        <v>131</v>
      </c>
      <c r="C131" s="11">
        <v>2.0</v>
      </c>
      <c r="D131" s="11">
        <v>2.0</v>
      </c>
      <c r="E131" s="11">
        <v>1.0</v>
      </c>
      <c r="F131" s="6">
        <f t="shared" si="1"/>
        <v>0.5</v>
      </c>
      <c r="G131" s="12">
        <v>1.0</v>
      </c>
      <c r="H131" s="11">
        <v>0.0</v>
      </c>
    </row>
    <row r="132" ht="17.25" customHeight="1">
      <c r="B132" s="3" t="s">
        <v>427</v>
      </c>
      <c r="C132" s="11">
        <v>1.0</v>
      </c>
      <c r="D132" s="11">
        <v>1.0</v>
      </c>
      <c r="E132" s="11">
        <v>0.0</v>
      </c>
      <c r="F132" s="6">
        <f t="shared" si="1"/>
        <v>0</v>
      </c>
      <c r="G132" s="12">
        <v>3.3333333333333335</v>
      </c>
      <c r="H132" s="11">
        <v>0.0</v>
      </c>
    </row>
    <row r="133" ht="17.25" customHeight="1">
      <c r="B133" s="3" t="s">
        <v>132</v>
      </c>
      <c r="C133" s="11">
        <v>184.0</v>
      </c>
      <c r="D133" s="11">
        <v>209.0</v>
      </c>
      <c r="E133" s="11">
        <v>52.0</v>
      </c>
      <c r="F133" s="6">
        <f t="shared" si="1"/>
        <v>0.2488038278</v>
      </c>
      <c r="G133" s="12">
        <v>7.085760869565217</v>
      </c>
      <c r="H133" s="11">
        <v>8.0</v>
      </c>
    </row>
    <row r="134" ht="17.25" customHeight="1">
      <c r="B134" s="3" t="s">
        <v>428</v>
      </c>
      <c r="C134" s="11">
        <v>1.0</v>
      </c>
      <c r="D134" s="11">
        <v>1.0</v>
      </c>
      <c r="E134" s="11">
        <v>1.0</v>
      </c>
      <c r="F134" s="6">
        <f t="shared" si="1"/>
        <v>1</v>
      </c>
      <c r="G134" s="12">
        <v>1.8333333333333335</v>
      </c>
      <c r="H134" s="11">
        <v>0.0</v>
      </c>
    </row>
    <row r="135" ht="17.25" customHeight="1">
      <c r="B135" s="3" t="s">
        <v>133</v>
      </c>
      <c r="C135" s="11">
        <v>1.0</v>
      </c>
      <c r="D135" s="11">
        <v>3.0</v>
      </c>
      <c r="E135" s="11">
        <v>1.0</v>
      </c>
      <c r="F135" s="6">
        <f t="shared" si="1"/>
        <v>0.3333333333</v>
      </c>
      <c r="G135" s="12">
        <v>2.5005070993914806</v>
      </c>
      <c r="H135" s="11">
        <v>1.0</v>
      </c>
    </row>
    <row r="136" ht="17.25" customHeight="1">
      <c r="B136" s="3" t="s">
        <v>134</v>
      </c>
      <c r="C136" s="11">
        <v>2.0</v>
      </c>
      <c r="D136" s="11">
        <v>2.0</v>
      </c>
      <c r="E136" s="11">
        <v>0.0</v>
      </c>
      <c r="F136" s="6">
        <f t="shared" si="1"/>
        <v>0</v>
      </c>
      <c r="G136" s="12">
        <v>2.1369731800766285</v>
      </c>
      <c r="H136" s="11">
        <v>0.0</v>
      </c>
    </row>
    <row r="137" ht="17.25" customHeight="1">
      <c r="B137" s="3" t="s">
        <v>135</v>
      </c>
      <c r="C137" s="11">
        <v>40.0</v>
      </c>
      <c r="D137" s="11">
        <v>40.0</v>
      </c>
      <c r="E137" s="11">
        <v>29.0</v>
      </c>
      <c r="F137" s="6">
        <f t="shared" si="1"/>
        <v>0.725</v>
      </c>
      <c r="G137" s="12">
        <v>2.5</v>
      </c>
      <c r="H137" s="11">
        <v>0.0</v>
      </c>
    </row>
    <row r="138" ht="17.25" customHeight="1">
      <c r="B138" s="3" t="s">
        <v>136</v>
      </c>
      <c r="C138" s="11">
        <v>31.0</v>
      </c>
      <c r="D138" s="11">
        <v>31.0</v>
      </c>
      <c r="E138" s="11">
        <v>22.0</v>
      </c>
      <c r="F138" s="6">
        <f t="shared" si="1"/>
        <v>0.7096774194</v>
      </c>
      <c r="G138" s="12">
        <v>3.65</v>
      </c>
      <c r="H138" s="11">
        <v>0.0</v>
      </c>
    </row>
    <row r="139" ht="17.25" customHeight="1">
      <c r="B139" s="3" t="s">
        <v>137</v>
      </c>
      <c r="C139" s="11">
        <v>3.0</v>
      </c>
      <c r="D139" s="11">
        <v>3.0</v>
      </c>
      <c r="E139" s="11">
        <v>3.0</v>
      </c>
      <c r="F139" s="6">
        <f t="shared" si="1"/>
        <v>1</v>
      </c>
      <c r="G139" s="12">
        <v>1.0</v>
      </c>
      <c r="H139" s="11">
        <v>0.0</v>
      </c>
    </row>
    <row r="140" ht="17.25" customHeight="1">
      <c r="B140" s="3" t="s">
        <v>138</v>
      </c>
      <c r="C140" s="11">
        <v>194.0</v>
      </c>
      <c r="D140" s="11">
        <v>197.0</v>
      </c>
      <c r="E140" s="11">
        <v>137.0</v>
      </c>
      <c r="F140" s="6">
        <f t="shared" si="1"/>
        <v>0.6954314721</v>
      </c>
      <c r="G140" s="12">
        <v>6.833333333333333</v>
      </c>
      <c r="H140" s="11">
        <v>0.0</v>
      </c>
    </row>
    <row r="141" ht="17.25" customHeight="1">
      <c r="B141" s="3" t="s">
        <v>139</v>
      </c>
      <c r="C141" s="11">
        <v>188.0</v>
      </c>
      <c r="D141" s="11">
        <v>190.0</v>
      </c>
      <c r="E141" s="11">
        <v>120.0</v>
      </c>
      <c r="F141" s="6">
        <f t="shared" si="1"/>
        <v>0.6315789474</v>
      </c>
      <c r="G141" s="12">
        <v>1.173780487804878</v>
      </c>
      <c r="H141" s="11">
        <v>0.0</v>
      </c>
    </row>
    <row r="142" ht="17.25" customHeight="1">
      <c r="B142" s="3" t="s">
        <v>140</v>
      </c>
      <c r="C142" s="11">
        <v>1.0</v>
      </c>
      <c r="D142" s="11">
        <v>1.0</v>
      </c>
      <c r="E142" s="11">
        <v>1.0</v>
      </c>
      <c r="F142" s="6">
        <f t="shared" si="1"/>
        <v>1</v>
      </c>
      <c r="G142" s="12">
        <v>2.9912280701754383</v>
      </c>
      <c r="H142" s="11">
        <v>0.0</v>
      </c>
    </row>
    <row r="143" ht="17.25" customHeight="1">
      <c r="B143" s="3" t="s">
        <v>141</v>
      </c>
      <c r="C143" s="11">
        <v>75.0</v>
      </c>
      <c r="D143" s="11">
        <v>75.0</v>
      </c>
      <c r="E143" s="11">
        <v>63.0</v>
      </c>
      <c r="F143" s="6">
        <f t="shared" si="1"/>
        <v>0.84</v>
      </c>
      <c r="G143" s="12">
        <v>1.0333333333333332</v>
      </c>
      <c r="H143" s="11">
        <v>0.0</v>
      </c>
    </row>
    <row r="144" ht="17.25" customHeight="1">
      <c r="B144" s="3" t="s">
        <v>142</v>
      </c>
      <c r="C144" s="11">
        <v>6.0</v>
      </c>
      <c r="D144" s="11">
        <v>8.0</v>
      </c>
      <c r="E144" s="11">
        <v>0.0</v>
      </c>
      <c r="F144" s="6">
        <f t="shared" si="1"/>
        <v>0</v>
      </c>
      <c r="G144" s="12">
        <v>1.0</v>
      </c>
      <c r="H144" s="11">
        <v>0.0</v>
      </c>
    </row>
    <row r="145" ht="17.25" customHeight="1">
      <c r="B145" s="3" t="s">
        <v>143</v>
      </c>
      <c r="C145" s="11">
        <v>15.0</v>
      </c>
      <c r="D145" s="11">
        <v>16.0</v>
      </c>
      <c r="E145" s="11">
        <v>12.0</v>
      </c>
      <c r="F145" s="6">
        <f t="shared" si="1"/>
        <v>0.75</v>
      </c>
      <c r="G145" s="12">
        <v>1.0</v>
      </c>
      <c r="H145" s="11">
        <v>0.0</v>
      </c>
    </row>
    <row r="146" ht="17.25" customHeight="1">
      <c r="B146" s="3" t="s">
        <v>144</v>
      </c>
      <c r="C146" s="11">
        <v>4.0</v>
      </c>
      <c r="D146" s="11">
        <v>7.0</v>
      </c>
      <c r="E146" s="11">
        <v>1.0</v>
      </c>
      <c r="F146" s="6">
        <f t="shared" si="1"/>
        <v>0.1428571429</v>
      </c>
      <c r="G146" s="12">
        <v>29.0</v>
      </c>
      <c r="H146" s="11">
        <v>1.0</v>
      </c>
    </row>
    <row r="147" ht="17.25" customHeight="1">
      <c r="B147" s="3" t="s">
        <v>145</v>
      </c>
      <c r="C147" s="11">
        <v>48.0</v>
      </c>
      <c r="D147" s="11">
        <v>48.0</v>
      </c>
      <c r="E147" s="11">
        <v>33.0</v>
      </c>
      <c r="F147" s="6">
        <f t="shared" si="1"/>
        <v>0.6875</v>
      </c>
      <c r="G147" s="12">
        <v>1.0</v>
      </c>
      <c r="H147" s="11">
        <v>0.0</v>
      </c>
    </row>
    <row r="148" ht="17.25" customHeight="1">
      <c r="B148" s="3" t="s">
        <v>146</v>
      </c>
      <c r="C148" s="11">
        <v>18.0</v>
      </c>
      <c r="D148" s="11">
        <v>19.0</v>
      </c>
      <c r="E148" s="11">
        <v>5.0</v>
      </c>
      <c r="F148" s="6">
        <f t="shared" si="1"/>
        <v>0.2631578947</v>
      </c>
      <c r="G148" s="12">
        <v>2.0</v>
      </c>
      <c r="H148" s="11">
        <v>0.0</v>
      </c>
    </row>
    <row r="149" ht="17.25" customHeight="1">
      <c r="B149" s="3" t="s">
        <v>147</v>
      </c>
      <c r="C149" s="11">
        <v>1.0</v>
      </c>
      <c r="D149" s="11">
        <v>1.0</v>
      </c>
      <c r="E149" s="11">
        <v>0.0</v>
      </c>
      <c r="F149" s="6">
        <f t="shared" si="1"/>
        <v>0</v>
      </c>
      <c r="G149" s="12">
        <v>2.046153846153846</v>
      </c>
      <c r="H149" s="11">
        <v>0.0</v>
      </c>
    </row>
    <row r="150" ht="17.25" customHeight="1">
      <c r="B150" s="3" t="s">
        <v>148</v>
      </c>
      <c r="C150" s="11">
        <v>3.0</v>
      </c>
      <c r="D150" s="11">
        <v>3.0</v>
      </c>
      <c r="E150" s="11">
        <v>0.0</v>
      </c>
      <c r="F150" s="6">
        <f t="shared" si="1"/>
        <v>0</v>
      </c>
      <c r="G150" s="12">
        <v>1.0</v>
      </c>
      <c r="H150" s="11">
        <v>0.0</v>
      </c>
    </row>
    <row r="151" ht="17.25" customHeight="1">
      <c r="B151" s="3" t="s">
        <v>149</v>
      </c>
      <c r="C151" s="11">
        <v>1.0</v>
      </c>
      <c r="D151" s="11">
        <v>1.0</v>
      </c>
      <c r="E151" s="11">
        <v>0.0</v>
      </c>
      <c r="F151" s="6">
        <f t="shared" si="1"/>
        <v>0</v>
      </c>
      <c r="G151" s="12">
        <v>5.0</v>
      </c>
      <c r="H151" s="11">
        <v>0.0</v>
      </c>
    </row>
    <row r="152" ht="17.25" customHeight="1">
      <c r="B152" s="3" t="s">
        <v>150</v>
      </c>
      <c r="C152" s="11">
        <v>1.0</v>
      </c>
      <c r="D152" s="11">
        <v>1.0</v>
      </c>
      <c r="E152" s="11">
        <v>1.0</v>
      </c>
      <c r="F152" s="6">
        <f t="shared" si="1"/>
        <v>1</v>
      </c>
      <c r="G152" s="12">
        <v>1.0</v>
      </c>
      <c r="H152" s="11">
        <v>0.0</v>
      </c>
    </row>
    <row r="153" ht="17.25" customHeight="1">
      <c r="B153" s="3" t="s">
        <v>151</v>
      </c>
      <c r="C153" s="11">
        <v>4.0</v>
      </c>
      <c r="D153" s="11">
        <v>4.0</v>
      </c>
      <c r="E153" s="11">
        <v>2.0</v>
      </c>
      <c r="F153" s="6">
        <f t="shared" si="1"/>
        <v>0.5</v>
      </c>
      <c r="G153" s="12">
        <v>2.480769230769231</v>
      </c>
      <c r="H153" s="11">
        <v>0.0</v>
      </c>
    </row>
    <row r="154" ht="17.25" customHeight="1">
      <c r="B154" s="3" t="s">
        <v>152</v>
      </c>
      <c r="C154" s="11">
        <v>2.0</v>
      </c>
      <c r="D154" s="11">
        <v>2.0</v>
      </c>
      <c r="E154" s="11">
        <v>2.0</v>
      </c>
      <c r="F154" s="6">
        <f t="shared" si="1"/>
        <v>1</v>
      </c>
      <c r="G154" s="12">
        <v>1.0</v>
      </c>
      <c r="H154" s="11">
        <v>0.0</v>
      </c>
    </row>
    <row r="155" ht="17.25" customHeight="1">
      <c r="B155" s="3" t="s">
        <v>153</v>
      </c>
      <c r="C155" s="11">
        <v>7.0</v>
      </c>
      <c r="D155" s="11">
        <v>7.0</v>
      </c>
      <c r="E155" s="11">
        <v>4.0</v>
      </c>
      <c r="F155" s="6">
        <f t="shared" si="1"/>
        <v>0.5714285714</v>
      </c>
      <c r="G155" s="12">
        <v>2.5</v>
      </c>
      <c r="H155" s="11">
        <v>0.0</v>
      </c>
    </row>
    <row r="156" ht="17.25" customHeight="1">
      <c r="B156" s="3" t="s">
        <v>154</v>
      </c>
      <c r="C156" s="11">
        <v>4.0</v>
      </c>
      <c r="D156" s="11">
        <v>4.0</v>
      </c>
      <c r="E156" s="11">
        <v>1.0</v>
      </c>
      <c r="F156" s="6">
        <f t="shared" si="1"/>
        <v>0.25</v>
      </c>
      <c r="G156" s="12">
        <v>1.0</v>
      </c>
      <c r="H156" s="11">
        <v>0.0</v>
      </c>
    </row>
    <row r="157" ht="17.25" customHeight="1">
      <c r="B157" s="3" t="s">
        <v>155</v>
      </c>
      <c r="C157" s="11">
        <v>11.0</v>
      </c>
      <c r="D157" s="11">
        <v>11.0</v>
      </c>
      <c r="E157" s="11">
        <v>4.0</v>
      </c>
      <c r="F157" s="6">
        <f t="shared" si="1"/>
        <v>0.3636363636</v>
      </c>
      <c r="G157" s="12">
        <v>1.0</v>
      </c>
      <c r="H157" s="11">
        <v>0.0</v>
      </c>
    </row>
    <row r="158" ht="17.25" customHeight="1">
      <c r="B158" s="3" t="s">
        <v>156</v>
      </c>
      <c r="C158" s="11">
        <v>12.0</v>
      </c>
      <c r="D158" s="11">
        <v>12.0</v>
      </c>
      <c r="E158" s="11">
        <v>8.0</v>
      </c>
      <c r="F158" s="6">
        <f t="shared" si="1"/>
        <v>0.6666666667</v>
      </c>
      <c r="G158" s="12">
        <v>1.7878024193548387</v>
      </c>
      <c r="H158" s="11">
        <v>0.0</v>
      </c>
    </row>
    <row r="159" ht="17.25" customHeight="1">
      <c r="B159" s="3" t="s">
        <v>157</v>
      </c>
      <c r="C159" s="11">
        <v>39.0</v>
      </c>
      <c r="D159" s="11">
        <v>40.0</v>
      </c>
      <c r="E159" s="11">
        <v>21.0</v>
      </c>
      <c r="F159" s="6">
        <f t="shared" si="1"/>
        <v>0.525</v>
      </c>
      <c r="G159" s="12">
        <v>3.25</v>
      </c>
      <c r="H159" s="11">
        <v>0.0</v>
      </c>
    </row>
    <row r="160" ht="17.25" customHeight="1">
      <c r="B160" s="3" t="s">
        <v>158</v>
      </c>
      <c r="C160" s="11">
        <v>7.0</v>
      </c>
      <c r="D160" s="11">
        <v>7.0</v>
      </c>
      <c r="E160" s="11">
        <v>4.0</v>
      </c>
      <c r="F160" s="6">
        <f t="shared" si="1"/>
        <v>0.5714285714</v>
      </c>
      <c r="G160" s="12">
        <v>5.25</v>
      </c>
      <c r="H160" s="11">
        <v>0.0</v>
      </c>
    </row>
    <row r="161" ht="17.25" customHeight="1">
      <c r="B161" s="3" t="s">
        <v>159</v>
      </c>
      <c r="C161" s="11">
        <v>8.0</v>
      </c>
      <c r="D161" s="11">
        <v>8.0</v>
      </c>
      <c r="E161" s="11">
        <v>4.0</v>
      </c>
      <c r="F161" s="6">
        <f t="shared" si="1"/>
        <v>0.5</v>
      </c>
      <c r="G161" s="12">
        <v>3.0</v>
      </c>
      <c r="H161" s="11">
        <v>0.0</v>
      </c>
    </row>
    <row r="162" ht="17.25" customHeight="1">
      <c r="B162" s="3" t="s">
        <v>160</v>
      </c>
      <c r="C162" s="11">
        <v>37.0</v>
      </c>
      <c r="D162" s="11">
        <v>37.0</v>
      </c>
      <c r="E162" s="11">
        <v>17.0</v>
      </c>
      <c r="F162" s="6">
        <f t="shared" si="1"/>
        <v>0.4594594595</v>
      </c>
      <c r="G162" s="12">
        <v>1.0869565217391304</v>
      </c>
      <c r="H162" s="11">
        <v>0.0</v>
      </c>
    </row>
    <row r="163" ht="17.25" customHeight="1">
      <c r="B163" s="3" t="s">
        <v>161</v>
      </c>
      <c r="C163" s="11">
        <v>15.0</v>
      </c>
      <c r="D163" s="11">
        <v>16.0</v>
      </c>
      <c r="E163" s="11">
        <v>9.0</v>
      </c>
      <c r="F163" s="6">
        <f t="shared" si="1"/>
        <v>0.5625</v>
      </c>
      <c r="G163" s="12">
        <v>1.95</v>
      </c>
      <c r="H163" s="11">
        <v>0.0</v>
      </c>
    </row>
    <row r="164" ht="17.25" customHeight="1">
      <c r="B164" s="3" t="s">
        <v>162</v>
      </c>
      <c r="C164" s="11">
        <v>1.0</v>
      </c>
      <c r="D164" s="11">
        <v>1.0</v>
      </c>
      <c r="E164" s="11">
        <v>0.0</v>
      </c>
      <c r="F164" s="6">
        <f t="shared" si="1"/>
        <v>0</v>
      </c>
      <c r="G164" s="12">
        <v>1.0</v>
      </c>
      <c r="H164" s="11">
        <v>0.0</v>
      </c>
    </row>
    <row r="165" ht="17.25" customHeight="1">
      <c r="B165" s="3" t="s">
        <v>429</v>
      </c>
      <c r="C165" s="11">
        <v>1.0</v>
      </c>
      <c r="D165" s="11">
        <v>1.0</v>
      </c>
      <c r="E165" s="11">
        <v>1.0</v>
      </c>
      <c r="F165" s="6">
        <f t="shared" si="1"/>
        <v>1</v>
      </c>
      <c r="G165" s="12">
        <v>1.0</v>
      </c>
      <c r="H165" s="11">
        <v>0.0</v>
      </c>
    </row>
    <row r="166" ht="17.25" customHeight="1">
      <c r="B166" s="3" t="s">
        <v>163</v>
      </c>
      <c r="C166" s="11">
        <v>1.0</v>
      </c>
      <c r="D166" s="11">
        <v>1.0</v>
      </c>
      <c r="E166" s="11">
        <v>1.0</v>
      </c>
      <c r="F166" s="6">
        <f t="shared" si="1"/>
        <v>1</v>
      </c>
      <c r="G166" s="12">
        <v>8.0</v>
      </c>
      <c r="H166" s="11">
        <v>0.0</v>
      </c>
    </row>
    <row r="167" ht="17.25" customHeight="1">
      <c r="B167" s="3" t="s">
        <v>430</v>
      </c>
      <c r="C167" s="11">
        <v>1.0</v>
      </c>
      <c r="D167" s="11">
        <v>1.0</v>
      </c>
      <c r="E167" s="11">
        <v>1.0</v>
      </c>
      <c r="F167" s="6">
        <f t="shared" si="1"/>
        <v>1</v>
      </c>
      <c r="G167" s="12">
        <v>4.666666666666666</v>
      </c>
      <c r="H167" s="11">
        <v>0.0</v>
      </c>
    </row>
    <row r="168" ht="17.25" customHeight="1">
      <c r="B168" s="3" t="s">
        <v>164</v>
      </c>
      <c r="C168" s="11">
        <v>4.0</v>
      </c>
      <c r="D168" s="11">
        <v>5.0</v>
      </c>
      <c r="E168" s="11">
        <v>1.0</v>
      </c>
      <c r="F168" s="6">
        <f t="shared" si="1"/>
        <v>0.2</v>
      </c>
      <c r="G168" s="12">
        <v>3.0</v>
      </c>
      <c r="H168" s="11">
        <v>0.0</v>
      </c>
    </row>
    <row r="169" ht="17.25" customHeight="1">
      <c r="B169" s="3" t="s">
        <v>165</v>
      </c>
      <c r="C169" s="11">
        <v>1.0</v>
      </c>
      <c r="D169" s="11">
        <v>1.0</v>
      </c>
      <c r="E169" s="11">
        <v>1.0</v>
      </c>
      <c r="F169" s="6">
        <f t="shared" si="1"/>
        <v>1</v>
      </c>
      <c r="G169" s="12">
        <v>3.3636363636363638</v>
      </c>
      <c r="H169" s="11">
        <v>0.0</v>
      </c>
    </row>
    <row r="170" ht="17.25" customHeight="1">
      <c r="B170" s="3" t="s">
        <v>166</v>
      </c>
      <c r="C170" s="11">
        <v>4.0</v>
      </c>
      <c r="D170" s="11">
        <v>4.0</v>
      </c>
      <c r="E170" s="11">
        <v>1.0</v>
      </c>
      <c r="F170" s="6">
        <f t="shared" si="1"/>
        <v>0.25</v>
      </c>
      <c r="G170" s="12">
        <v>1.8444444444444443</v>
      </c>
      <c r="H170" s="11">
        <v>0.0</v>
      </c>
    </row>
    <row r="171" ht="17.25" customHeight="1">
      <c r="B171" s="3" t="s">
        <v>167</v>
      </c>
      <c r="C171" s="11">
        <v>25.0</v>
      </c>
      <c r="D171" s="11">
        <v>26.0</v>
      </c>
      <c r="E171" s="11">
        <v>10.0</v>
      </c>
      <c r="F171" s="6">
        <f t="shared" si="1"/>
        <v>0.3846153846</v>
      </c>
      <c r="G171" s="12">
        <v>1.25</v>
      </c>
      <c r="H171" s="11">
        <v>0.0</v>
      </c>
    </row>
    <row r="172" ht="17.25" customHeight="1">
      <c r="B172" s="3" t="s">
        <v>168</v>
      </c>
      <c r="C172" s="11">
        <v>16.0</v>
      </c>
      <c r="D172" s="11">
        <v>16.0</v>
      </c>
      <c r="E172" s="11">
        <v>12.0</v>
      </c>
      <c r="F172" s="6">
        <f t="shared" si="1"/>
        <v>0.75</v>
      </c>
      <c r="G172" s="12">
        <v>1.5</v>
      </c>
      <c r="H172" s="11">
        <v>0.0</v>
      </c>
    </row>
    <row r="173" ht="17.25" customHeight="1">
      <c r="B173" s="3" t="s">
        <v>169</v>
      </c>
      <c r="C173" s="11">
        <v>1.0</v>
      </c>
      <c r="D173" s="11">
        <v>1.0</v>
      </c>
      <c r="E173" s="11">
        <v>1.0</v>
      </c>
      <c r="F173" s="6">
        <f t="shared" si="1"/>
        <v>1</v>
      </c>
      <c r="G173" s="12">
        <v>1.5</v>
      </c>
      <c r="H173" s="11">
        <v>0.0</v>
      </c>
    </row>
    <row r="174" ht="17.25" customHeight="1">
      <c r="B174" s="3" t="s">
        <v>170</v>
      </c>
      <c r="C174" s="11">
        <v>21.0</v>
      </c>
      <c r="D174" s="11">
        <v>26.0</v>
      </c>
      <c r="E174" s="11">
        <v>11.0</v>
      </c>
      <c r="F174" s="6">
        <f t="shared" si="1"/>
        <v>0.4230769231</v>
      </c>
      <c r="G174" s="12">
        <v>1.0</v>
      </c>
      <c r="H174" s="11">
        <v>0.0</v>
      </c>
    </row>
    <row r="175" ht="17.25" customHeight="1">
      <c r="B175" s="3" t="s">
        <v>171</v>
      </c>
      <c r="C175" s="11">
        <v>7.0</v>
      </c>
      <c r="D175" s="11">
        <v>8.0</v>
      </c>
      <c r="E175" s="11">
        <v>5.0</v>
      </c>
      <c r="F175" s="6">
        <f t="shared" si="1"/>
        <v>0.625</v>
      </c>
      <c r="G175" s="12">
        <v>1.3928571428571428</v>
      </c>
      <c r="H175" s="11">
        <v>0.0</v>
      </c>
    </row>
    <row r="176" ht="17.25" customHeight="1">
      <c r="B176" s="3" t="s">
        <v>172</v>
      </c>
      <c r="C176" s="11">
        <v>121.0</v>
      </c>
      <c r="D176" s="11">
        <v>131.0</v>
      </c>
      <c r="E176" s="11">
        <v>43.0</v>
      </c>
      <c r="F176" s="6">
        <f t="shared" si="1"/>
        <v>0.3282442748</v>
      </c>
      <c r="G176" s="12">
        <v>1.0</v>
      </c>
      <c r="H176" s="11">
        <v>0.0</v>
      </c>
    </row>
    <row r="177" ht="17.25" customHeight="1">
      <c r="B177" s="3" t="s">
        <v>173</v>
      </c>
      <c r="C177" s="11">
        <v>2.0</v>
      </c>
      <c r="D177" s="11">
        <v>3.0</v>
      </c>
      <c r="E177" s="11">
        <v>2.0</v>
      </c>
      <c r="F177" s="6">
        <f t="shared" si="1"/>
        <v>0.6666666667</v>
      </c>
      <c r="G177" s="12">
        <v>1.0</v>
      </c>
      <c r="H177" s="11">
        <v>0.0</v>
      </c>
    </row>
    <row r="178" ht="17.25" customHeight="1">
      <c r="B178" s="3" t="s">
        <v>174</v>
      </c>
      <c r="C178" s="11">
        <v>25.0</v>
      </c>
      <c r="D178" s="11">
        <v>28.0</v>
      </c>
      <c r="E178" s="11">
        <v>12.0</v>
      </c>
      <c r="F178" s="6">
        <f t="shared" si="1"/>
        <v>0.4285714286</v>
      </c>
      <c r="G178" s="12">
        <v>1.3333333333333335</v>
      </c>
      <c r="H178" s="11">
        <v>0.0</v>
      </c>
    </row>
    <row r="179" ht="17.25" customHeight="1">
      <c r="B179" s="3" t="s">
        <v>175</v>
      </c>
      <c r="C179" s="11">
        <v>93.0</v>
      </c>
      <c r="D179" s="11">
        <v>95.0</v>
      </c>
      <c r="E179" s="11">
        <v>63.0</v>
      </c>
      <c r="F179" s="6">
        <f t="shared" si="1"/>
        <v>0.6631578947</v>
      </c>
      <c r="G179" s="12">
        <v>1.0</v>
      </c>
      <c r="H179" s="11">
        <v>0.0</v>
      </c>
    </row>
    <row r="180" ht="17.25" customHeight="1">
      <c r="B180" s="3" t="s">
        <v>176</v>
      </c>
      <c r="C180" s="11">
        <v>1.0</v>
      </c>
      <c r="D180" s="11">
        <v>1.0</v>
      </c>
      <c r="E180" s="11">
        <v>1.0</v>
      </c>
      <c r="F180" s="6">
        <f t="shared" si="1"/>
        <v>1</v>
      </c>
      <c r="G180" s="12">
        <v>4.083333333333333</v>
      </c>
      <c r="H180" s="11">
        <v>0.0</v>
      </c>
    </row>
    <row r="181" ht="17.25" customHeight="1">
      <c r="B181" s="3" t="s">
        <v>177</v>
      </c>
      <c r="C181" s="11">
        <v>7.0</v>
      </c>
      <c r="D181" s="11">
        <v>7.0</v>
      </c>
      <c r="E181" s="11">
        <v>5.0</v>
      </c>
      <c r="F181" s="6">
        <f t="shared" si="1"/>
        <v>0.7142857143</v>
      </c>
      <c r="G181" s="12">
        <v>4.0</v>
      </c>
      <c r="H181" s="11">
        <v>0.0</v>
      </c>
    </row>
    <row r="182" ht="17.25" customHeight="1">
      <c r="B182" s="3" t="s">
        <v>178</v>
      </c>
      <c r="C182" s="11">
        <v>9.0</v>
      </c>
      <c r="D182" s="11">
        <v>9.0</v>
      </c>
      <c r="E182" s="11">
        <v>6.0</v>
      </c>
      <c r="F182" s="6">
        <f t="shared" si="1"/>
        <v>0.6666666667</v>
      </c>
      <c r="G182" s="12">
        <v>2.0</v>
      </c>
      <c r="H182" s="11">
        <v>0.0</v>
      </c>
    </row>
    <row r="183" ht="17.25" customHeight="1">
      <c r="B183" s="3" t="s">
        <v>179</v>
      </c>
      <c r="C183" s="11">
        <v>13.0</v>
      </c>
      <c r="D183" s="11">
        <v>13.0</v>
      </c>
      <c r="E183" s="11">
        <v>8.0</v>
      </c>
      <c r="F183" s="6">
        <f t="shared" si="1"/>
        <v>0.6153846154</v>
      </c>
      <c r="G183" s="12">
        <v>1.0</v>
      </c>
      <c r="H183" s="11">
        <v>0.0</v>
      </c>
    </row>
    <row r="184" ht="17.25" customHeight="1">
      <c r="B184" s="3" t="s">
        <v>180</v>
      </c>
      <c r="C184" s="11">
        <v>1.0</v>
      </c>
      <c r="D184" s="11">
        <v>1.0</v>
      </c>
      <c r="E184" s="11">
        <v>1.0</v>
      </c>
      <c r="F184" s="6">
        <f t="shared" si="1"/>
        <v>1</v>
      </c>
      <c r="G184" s="12">
        <v>3.0</v>
      </c>
      <c r="H184" s="11">
        <v>0.0</v>
      </c>
    </row>
    <row r="185" ht="17.25" customHeight="1">
      <c r="B185" s="3" t="s">
        <v>181</v>
      </c>
      <c r="C185" s="11">
        <v>1.0</v>
      </c>
      <c r="D185" s="11">
        <v>1.0</v>
      </c>
      <c r="E185" s="11">
        <v>0.0</v>
      </c>
      <c r="F185" s="6">
        <f t="shared" si="1"/>
        <v>0</v>
      </c>
      <c r="G185" s="12">
        <v>2.4681797952825995</v>
      </c>
      <c r="H185" s="11">
        <v>0.0</v>
      </c>
    </row>
    <row r="186" ht="17.25" customHeight="1">
      <c r="B186" s="3" t="s">
        <v>182</v>
      </c>
      <c r="C186" s="11">
        <v>11.0</v>
      </c>
      <c r="D186" s="11">
        <v>11.0</v>
      </c>
      <c r="E186" s="11">
        <v>3.0</v>
      </c>
      <c r="F186" s="6">
        <f t="shared" si="1"/>
        <v>0.2727272727</v>
      </c>
      <c r="G186" s="12">
        <v>1.6</v>
      </c>
      <c r="H186" s="11">
        <v>0.0</v>
      </c>
    </row>
    <row r="187" ht="17.25" customHeight="1">
      <c r="B187" s="3" t="s">
        <v>183</v>
      </c>
      <c r="C187" s="11">
        <v>4.0</v>
      </c>
      <c r="D187" s="11">
        <v>4.0</v>
      </c>
      <c r="E187" s="11">
        <v>1.0</v>
      </c>
      <c r="F187" s="6">
        <f t="shared" si="1"/>
        <v>0.25</v>
      </c>
      <c r="G187" s="12">
        <v>43.0</v>
      </c>
      <c r="H187" s="11">
        <v>0.0</v>
      </c>
    </row>
    <row r="188" ht="17.25" customHeight="1">
      <c r="B188" s="3" t="s">
        <v>431</v>
      </c>
      <c r="C188" s="11">
        <v>1.0</v>
      </c>
      <c r="D188" s="11">
        <v>1.0</v>
      </c>
      <c r="E188" s="11">
        <v>1.0</v>
      </c>
      <c r="F188" s="6">
        <f t="shared" si="1"/>
        <v>1</v>
      </c>
      <c r="G188" s="12">
        <v>5.5</v>
      </c>
      <c r="H188" s="11">
        <v>0.0</v>
      </c>
    </row>
    <row r="189" ht="17.25" customHeight="1">
      <c r="B189" s="3" t="s">
        <v>184</v>
      </c>
      <c r="C189" s="11">
        <v>14.0</v>
      </c>
      <c r="D189" s="11">
        <v>14.0</v>
      </c>
      <c r="E189" s="11">
        <v>7.0</v>
      </c>
      <c r="F189" s="6">
        <f t="shared" si="1"/>
        <v>0.5</v>
      </c>
      <c r="G189" s="12">
        <v>1.0</v>
      </c>
      <c r="H189" s="11">
        <v>0.0</v>
      </c>
    </row>
    <row r="190" ht="17.25" customHeight="1">
      <c r="B190" s="3" t="s">
        <v>185</v>
      </c>
      <c r="C190" s="11">
        <v>17.0</v>
      </c>
      <c r="D190" s="11">
        <v>17.0</v>
      </c>
      <c r="E190" s="11">
        <v>13.0</v>
      </c>
      <c r="F190" s="6">
        <f t="shared" si="1"/>
        <v>0.7647058824</v>
      </c>
      <c r="G190" s="12">
        <v>3.4</v>
      </c>
      <c r="H190" s="11">
        <v>0.0</v>
      </c>
    </row>
    <row r="191" ht="17.25" customHeight="1">
      <c r="B191" s="3" t="s">
        <v>186</v>
      </c>
      <c r="C191" s="11">
        <v>6.0</v>
      </c>
      <c r="D191" s="11">
        <v>6.0</v>
      </c>
      <c r="E191" s="11">
        <v>4.0</v>
      </c>
      <c r="F191" s="6">
        <f t="shared" si="1"/>
        <v>0.6666666667</v>
      </c>
      <c r="G191" s="12">
        <v>1.0</v>
      </c>
      <c r="H191" s="11">
        <v>0.0</v>
      </c>
    </row>
    <row r="192" ht="17.25" customHeight="1">
      <c r="B192" s="3" t="s">
        <v>187</v>
      </c>
      <c r="C192" s="11">
        <v>1.0</v>
      </c>
      <c r="D192" s="11">
        <v>1.0</v>
      </c>
      <c r="E192" s="11">
        <v>0.0</v>
      </c>
      <c r="F192" s="6">
        <f t="shared" si="1"/>
        <v>0</v>
      </c>
      <c r="G192" s="12">
        <v>2.0</v>
      </c>
      <c r="H192" s="11">
        <v>0.0</v>
      </c>
    </row>
    <row r="193" ht="17.25" customHeight="1">
      <c r="B193" s="3" t="s">
        <v>188</v>
      </c>
      <c r="C193" s="11">
        <v>25.0</v>
      </c>
      <c r="D193" s="11">
        <v>26.0</v>
      </c>
      <c r="E193" s="11">
        <v>16.0</v>
      </c>
      <c r="F193" s="6">
        <f t="shared" si="1"/>
        <v>0.6153846154</v>
      </c>
      <c r="G193" s="12">
        <v>13.0</v>
      </c>
      <c r="H193" s="11">
        <v>0.0</v>
      </c>
    </row>
    <row r="194" ht="17.25" customHeight="1">
      <c r="B194" s="3" t="s">
        <v>189</v>
      </c>
      <c r="C194" s="11">
        <v>15.0</v>
      </c>
      <c r="D194" s="11">
        <v>15.0</v>
      </c>
      <c r="E194" s="11">
        <v>12.0</v>
      </c>
      <c r="F194" s="6">
        <f t="shared" si="1"/>
        <v>0.8</v>
      </c>
      <c r="G194" s="12">
        <v>4.25</v>
      </c>
      <c r="H194" s="11">
        <v>0.0</v>
      </c>
    </row>
    <row r="195" ht="17.25" customHeight="1">
      <c r="B195" s="3" t="s">
        <v>190</v>
      </c>
      <c r="C195" s="11">
        <v>1.0</v>
      </c>
      <c r="D195" s="11">
        <v>1.0</v>
      </c>
      <c r="E195" s="11">
        <v>0.0</v>
      </c>
      <c r="F195" s="6">
        <f t="shared" si="1"/>
        <v>0</v>
      </c>
      <c r="G195" s="12">
        <v>3.0</v>
      </c>
      <c r="H195" s="11">
        <v>0.0</v>
      </c>
    </row>
    <row r="196" ht="17.25" customHeight="1">
      <c r="B196" s="3" t="s">
        <v>191</v>
      </c>
      <c r="C196" s="11">
        <v>6.0</v>
      </c>
      <c r="D196" s="11">
        <v>6.0</v>
      </c>
      <c r="E196" s="11">
        <v>4.0</v>
      </c>
      <c r="F196" s="6">
        <f t="shared" si="1"/>
        <v>0.6666666667</v>
      </c>
      <c r="G196" s="12">
        <v>7.035714285714286</v>
      </c>
      <c r="H196" s="11">
        <v>0.0</v>
      </c>
    </row>
    <row r="197" ht="17.25" customHeight="1">
      <c r="B197" s="3" t="s">
        <v>192</v>
      </c>
      <c r="C197" s="11">
        <v>33.0</v>
      </c>
      <c r="D197" s="11">
        <v>34.0</v>
      </c>
      <c r="E197" s="11">
        <v>26.0</v>
      </c>
      <c r="F197" s="6">
        <f t="shared" si="1"/>
        <v>0.7647058824</v>
      </c>
      <c r="G197" s="12">
        <v>3.0</v>
      </c>
      <c r="H197" s="11">
        <v>0.0</v>
      </c>
    </row>
    <row r="198" ht="17.25" customHeight="1">
      <c r="B198" s="3" t="s">
        <v>193</v>
      </c>
      <c r="C198" s="11">
        <v>1.0</v>
      </c>
      <c r="D198" s="11">
        <v>1.0</v>
      </c>
      <c r="E198" s="11">
        <v>0.0</v>
      </c>
      <c r="F198" s="6">
        <f t="shared" si="1"/>
        <v>0</v>
      </c>
      <c r="G198" s="12">
        <v>13.0</v>
      </c>
      <c r="H198" s="11">
        <v>0.0</v>
      </c>
    </row>
    <row r="199" ht="17.25" customHeight="1">
      <c r="B199" s="3" t="s">
        <v>194</v>
      </c>
      <c r="C199" s="11">
        <v>2.0</v>
      </c>
      <c r="D199" s="11">
        <v>2.0</v>
      </c>
      <c r="E199" s="11">
        <v>1.0</v>
      </c>
      <c r="F199" s="6">
        <f t="shared" si="1"/>
        <v>0.5</v>
      </c>
      <c r="G199" s="12">
        <v>2.6833333333333336</v>
      </c>
      <c r="H199" s="11">
        <v>0.0</v>
      </c>
    </row>
    <row r="200" ht="17.25" customHeight="1">
      <c r="B200" s="3" t="s">
        <v>195</v>
      </c>
      <c r="C200" s="11">
        <v>1.0</v>
      </c>
      <c r="D200" s="11">
        <v>1.0</v>
      </c>
      <c r="E200" s="11">
        <v>1.0</v>
      </c>
      <c r="F200" s="6">
        <f t="shared" si="1"/>
        <v>1</v>
      </c>
      <c r="G200" s="12">
        <v>4.0</v>
      </c>
      <c r="H200" s="11">
        <v>0.0</v>
      </c>
    </row>
    <row r="201" ht="17.25" customHeight="1">
      <c r="B201" s="3" t="s">
        <v>196</v>
      </c>
      <c r="C201" s="11">
        <v>16.0</v>
      </c>
      <c r="D201" s="11">
        <v>16.0</v>
      </c>
      <c r="E201" s="11">
        <v>12.0</v>
      </c>
      <c r="F201" s="6">
        <f t="shared" si="1"/>
        <v>0.75</v>
      </c>
      <c r="G201" s="12">
        <v>1.1666666666666665</v>
      </c>
      <c r="H201" s="11">
        <v>0.0</v>
      </c>
    </row>
    <row r="202" ht="17.25" customHeight="1">
      <c r="B202" s="3" t="s">
        <v>197</v>
      </c>
      <c r="C202" s="11">
        <v>3.0</v>
      </c>
      <c r="D202" s="11">
        <v>3.0</v>
      </c>
      <c r="E202" s="11">
        <v>3.0</v>
      </c>
      <c r="F202" s="6">
        <f t="shared" si="1"/>
        <v>1</v>
      </c>
      <c r="G202" s="12">
        <v>12.0</v>
      </c>
      <c r="H202" s="11">
        <v>0.0</v>
      </c>
    </row>
    <row r="203" ht="17.25" customHeight="1">
      <c r="B203" s="3" t="s">
        <v>198</v>
      </c>
      <c r="C203" s="11">
        <v>3.0</v>
      </c>
      <c r="D203" s="11">
        <v>3.0</v>
      </c>
      <c r="E203" s="11">
        <v>3.0</v>
      </c>
      <c r="F203" s="6">
        <f t="shared" si="1"/>
        <v>1</v>
      </c>
      <c r="G203" s="12">
        <v>2.0</v>
      </c>
      <c r="H203" s="11">
        <v>0.0</v>
      </c>
    </row>
    <row r="204" ht="17.25" customHeight="1">
      <c r="B204" s="3" t="s">
        <v>199</v>
      </c>
      <c r="C204" s="11">
        <v>3.0</v>
      </c>
      <c r="D204" s="11">
        <v>3.0</v>
      </c>
      <c r="E204" s="11">
        <v>2.0</v>
      </c>
      <c r="F204" s="6">
        <f t="shared" si="1"/>
        <v>0.6666666667</v>
      </c>
      <c r="G204" s="12">
        <v>5.0</v>
      </c>
      <c r="H204" s="11">
        <v>0.0</v>
      </c>
    </row>
    <row r="205" ht="17.25" customHeight="1">
      <c r="B205" s="3" t="s">
        <v>432</v>
      </c>
      <c r="C205" s="11">
        <v>1.0</v>
      </c>
      <c r="D205" s="11">
        <v>1.0</v>
      </c>
      <c r="E205" s="11">
        <v>1.0</v>
      </c>
      <c r="F205" s="6">
        <f t="shared" si="1"/>
        <v>1</v>
      </c>
      <c r="G205" s="12">
        <v>2.0</v>
      </c>
      <c r="H205" s="11">
        <v>0.0</v>
      </c>
    </row>
    <row r="206" ht="17.25" customHeight="1">
      <c r="B206" s="3" t="s">
        <v>200</v>
      </c>
      <c r="C206" s="11">
        <v>39.0</v>
      </c>
      <c r="D206" s="11">
        <v>43.0</v>
      </c>
      <c r="E206" s="11">
        <v>22.0</v>
      </c>
      <c r="F206" s="6">
        <f t="shared" si="1"/>
        <v>0.511627907</v>
      </c>
      <c r="G206" s="12">
        <v>7.5</v>
      </c>
      <c r="H206" s="11">
        <v>0.0</v>
      </c>
    </row>
    <row r="207" ht="17.25" customHeight="1">
      <c r="B207" s="3" t="s">
        <v>201</v>
      </c>
      <c r="C207" s="11">
        <v>1.0</v>
      </c>
      <c r="D207" s="11">
        <v>1.0</v>
      </c>
      <c r="E207" s="11">
        <v>0.0</v>
      </c>
      <c r="F207" s="6">
        <f t="shared" si="1"/>
        <v>0</v>
      </c>
      <c r="G207" s="12">
        <v>1.0</v>
      </c>
      <c r="H207" s="11">
        <v>0.0</v>
      </c>
    </row>
    <row r="208" ht="17.25" customHeight="1">
      <c r="B208" s="3" t="s">
        <v>202</v>
      </c>
      <c r="C208" s="11">
        <v>1.0</v>
      </c>
      <c r="D208" s="11">
        <v>1.0</v>
      </c>
      <c r="E208" s="11">
        <v>1.0</v>
      </c>
      <c r="F208" s="6">
        <f t="shared" si="1"/>
        <v>1</v>
      </c>
      <c r="G208" s="12">
        <v>16.0</v>
      </c>
      <c r="H208" s="11">
        <v>0.0</v>
      </c>
    </row>
    <row r="209" ht="17.25" customHeight="1">
      <c r="B209" s="3" t="s">
        <v>203</v>
      </c>
      <c r="C209" s="11">
        <v>1.0</v>
      </c>
      <c r="D209" s="11">
        <v>1.0</v>
      </c>
      <c r="E209" s="11">
        <v>1.0</v>
      </c>
      <c r="F209" s="6">
        <f t="shared" si="1"/>
        <v>1</v>
      </c>
      <c r="G209" s="12">
        <v>2.0</v>
      </c>
      <c r="H209" s="11">
        <v>0.0</v>
      </c>
    </row>
    <row r="210" ht="17.25" customHeight="1">
      <c r="B210" s="3" t="s">
        <v>205</v>
      </c>
      <c r="C210" s="11">
        <v>745.0</v>
      </c>
      <c r="D210" s="11">
        <v>777.0</v>
      </c>
      <c r="E210" s="11">
        <v>486.0</v>
      </c>
      <c r="F210" s="6">
        <f t="shared" si="1"/>
        <v>0.6254826255</v>
      </c>
      <c r="G210" s="12">
        <v>3.332285115303983</v>
      </c>
      <c r="H210" s="11">
        <v>4.0</v>
      </c>
    </row>
    <row r="211" ht="17.25" customHeight="1">
      <c r="B211" s="3" t="s">
        <v>206</v>
      </c>
      <c r="C211" s="11">
        <v>131.0</v>
      </c>
      <c r="D211" s="11">
        <v>136.0</v>
      </c>
      <c r="E211" s="11">
        <v>88.0</v>
      </c>
      <c r="F211" s="6">
        <f t="shared" si="1"/>
        <v>0.6470588235</v>
      </c>
      <c r="G211" s="12">
        <v>4.0</v>
      </c>
      <c r="H211" s="11">
        <v>0.0</v>
      </c>
    </row>
    <row r="212" ht="17.25" customHeight="1">
      <c r="B212" s="3" t="s">
        <v>207</v>
      </c>
      <c r="C212" s="11">
        <v>2.0</v>
      </c>
      <c r="D212" s="11">
        <v>2.0</v>
      </c>
      <c r="E212" s="11">
        <v>2.0</v>
      </c>
      <c r="F212" s="6">
        <f t="shared" si="1"/>
        <v>1</v>
      </c>
      <c r="G212" s="12">
        <v>3.0</v>
      </c>
      <c r="H212" s="11">
        <v>0.0</v>
      </c>
    </row>
    <row r="213" ht="17.25" customHeight="1">
      <c r="B213" s="3" t="s">
        <v>208</v>
      </c>
      <c r="C213" s="11">
        <v>2.0</v>
      </c>
      <c r="D213" s="11">
        <v>2.0</v>
      </c>
      <c r="E213" s="11">
        <v>1.0</v>
      </c>
      <c r="F213" s="6">
        <f t="shared" si="1"/>
        <v>0.5</v>
      </c>
      <c r="G213" s="12">
        <v>1.0</v>
      </c>
      <c r="H213" s="11">
        <v>0.0</v>
      </c>
    </row>
    <row r="214" ht="17.25" customHeight="1">
      <c r="B214" s="3" t="s">
        <v>209</v>
      </c>
      <c r="C214" s="11">
        <v>6.0</v>
      </c>
      <c r="D214" s="11">
        <v>6.0</v>
      </c>
      <c r="E214" s="11">
        <v>2.0</v>
      </c>
      <c r="F214" s="6">
        <f t="shared" si="1"/>
        <v>0.3333333333</v>
      </c>
      <c r="G214" s="12">
        <v>2.5</v>
      </c>
      <c r="H214" s="11">
        <v>0.0</v>
      </c>
    </row>
    <row r="215" ht="17.25" customHeight="1">
      <c r="B215" s="3" t="s">
        <v>210</v>
      </c>
      <c r="C215" s="11">
        <v>1.0</v>
      </c>
      <c r="D215" s="11">
        <v>1.0</v>
      </c>
      <c r="E215" s="11">
        <v>1.0</v>
      </c>
      <c r="F215" s="6">
        <f t="shared" si="1"/>
        <v>1</v>
      </c>
      <c r="G215" s="12">
        <v>1.0</v>
      </c>
      <c r="H215" s="11">
        <v>0.0</v>
      </c>
    </row>
    <row r="216" ht="17.25" customHeight="1">
      <c r="B216" s="3" t="s">
        <v>211</v>
      </c>
      <c r="C216" s="11">
        <v>26.0</v>
      </c>
      <c r="D216" s="11">
        <v>27.0</v>
      </c>
      <c r="E216" s="11">
        <v>19.0</v>
      </c>
      <c r="F216" s="6">
        <f t="shared" si="1"/>
        <v>0.7037037037</v>
      </c>
      <c r="G216" s="12">
        <v>1.9166666666666667</v>
      </c>
      <c r="H216" s="11">
        <v>0.0</v>
      </c>
    </row>
    <row r="217" ht="17.25" customHeight="1">
      <c r="B217" s="3" t="s">
        <v>212</v>
      </c>
      <c r="C217" s="11">
        <v>4.0</v>
      </c>
      <c r="D217" s="11">
        <v>4.0</v>
      </c>
      <c r="E217" s="11">
        <v>4.0</v>
      </c>
      <c r="F217" s="6">
        <f t="shared" si="1"/>
        <v>1</v>
      </c>
      <c r="G217" s="12">
        <v>3.0</v>
      </c>
      <c r="H217" s="11">
        <v>0.0</v>
      </c>
    </row>
    <row r="218" ht="17.25" customHeight="1">
      <c r="B218" s="3" t="s">
        <v>213</v>
      </c>
      <c r="C218" s="11">
        <v>15.0</v>
      </c>
      <c r="D218" s="11">
        <v>15.0</v>
      </c>
      <c r="E218" s="11">
        <v>10.0</v>
      </c>
      <c r="F218" s="6">
        <f t="shared" si="1"/>
        <v>0.6666666667</v>
      </c>
      <c r="G218" s="12">
        <v>1.0</v>
      </c>
      <c r="H218" s="11">
        <v>0.0</v>
      </c>
    </row>
    <row r="219" ht="17.25" customHeight="1">
      <c r="B219" s="3" t="s">
        <v>214</v>
      </c>
      <c r="C219" s="11">
        <v>1.0</v>
      </c>
      <c r="D219" s="11">
        <v>1.0</v>
      </c>
      <c r="E219" s="11">
        <v>0.0</v>
      </c>
      <c r="F219" s="6">
        <f t="shared" si="1"/>
        <v>0</v>
      </c>
      <c r="G219" s="12">
        <v>1.4666666666666668</v>
      </c>
      <c r="H219" s="11">
        <v>0.0</v>
      </c>
    </row>
    <row r="220" ht="17.25" customHeight="1">
      <c r="B220" s="3" t="s">
        <v>215</v>
      </c>
      <c r="C220" s="11">
        <v>4.0</v>
      </c>
      <c r="D220" s="11">
        <v>4.0</v>
      </c>
      <c r="E220" s="11">
        <v>2.0</v>
      </c>
      <c r="F220" s="6">
        <f t="shared" si="1"/>
        <v>0.5</v>
      </c>
      <c r="G220" s="12">
        <v>1.0</v>
      </c>
      <c r="H220" s="11">
        <v>0.0</v>
      </c>
    </row>
    <row r="221" ht="17.25" customHeight="1">
      <c r="B221" s="3" t="s">
        <v>216</v>
      </c>
      <c r="C221" s="11">
        <v>1.0</v>
      </c>
      <c r="D221" s="11">
        <v>1.0</v>
      </c>
      <c r="E221" s="11">
        <v>0.0</v>
      </c>
      <c r="F221" s="6">
        <f t="shared" si="1"/>
        <v>0</v>
      </c>
      <c r="G221" s="12">
        <v>1.440909090909091</v>
      </c>
      <c r="H221" s="11">
        <v>0.0</v>
      </c>
    </row>
    <row r="222" ht="17.25" customHeight="1">
      <c r="B222" s="3" t="s">
        <v>217</v>
      </c>
      <c r="C222" s="11">
        <v>34.0</v>
      </c>
      <c r="D222" s="11">
        <v>34.0</v>
      </c>
      <c r="E222" s="11">
        <v>8.0</v>
      </c>
      <c r="F222" s="6">
        <f t="shared" si="1"/>
        <v>0.2352941176</v>
      </c>
      <c r="G222" s="12">
        <v>2.8602150537634405</v>
      </c>
      <c r="H222" s="11">
        <v>0.0</v>
      </c>
    </row>
    <row r="223" ht="17.25" customHeight="1">
      <c r="B223" s="3" t="s">
        <v>218</v>
      </c>
      <c r="C223" s="11">
        <v>1.0</v>
      </c>
      <c r="D223" s="11">
        <v>1.0</v>
      </c>
      <c r="E223" s="11">
        <v>0.0</v>
      </c>
      <c r="F223" s="6">
        <f t="shared" si="1"/>
        <v>0</v>
      </c>
      <c r="G223" s="12">
        <v>1.0</v>
      </c>
      <c r="H223" s="11">
        <v>0.0</v>
      </c>
    </row>
    <row r="224" ht="17.25" customHeight="1">
      <c r="B224" s="3" t="s">
        <v>219</v>
      </c>
      <c r="C224" s="11">
        <v>58.0</v>
      </c>
      <c r="D224" s="11">
        <v>60.0</v>
      </c>
      <c r="E224" s="11">
        <v>28.0</v>
      </c>
      <c r="F224" s="6">
        <f t="shared" si="1"/>
        <v>0.4666666667</v>
      </c>
      <c r="G224" s="12">
        <v>4.669230769230769</v>
      </c>
      <c r="H224" s="11">
        <v>2.0</v>
      </c>
    </row>
    <row r="225" ht="17.25" customHeight="1">
      <c r="B225" s="3" t="s">
        <v>220</v>
      </c>
      <c r="C225" s="11">
        <v>18.0</v>
      </c>
      <c r="D225" s="11">
        <v>19.0</v>
      </c>
      <c r="E225" s="11">
        <v>7.0</v>
      </c>
      <c r="F225" s="6">
        <f t="shared" si="1"/>
        <v>0.3684210526</v>
      </c>
      <c r="G225" s="12">
        <v>1.15625</v>
      </c>
      <c r="H225" s="11">
        <v>0.0</v>
      </c>
    </row>
    <row r="226" ht="17.25" customHeight="1">
      <c r="B226" s="3" t="s">
        <v>221</v>
      </c>
      <c r="C226" s="11">
        <v>5.0</v>
      </c>
      <c r="D226" s="11">
        <v>5.0</v>
      </c>
      <c r="E226" s="11">
        <v>3.0</v>
      </c>
      <c r="F226" s="6">
        <f t="shared" si="1"/>
        <v>0.6</v>
      </c>
      <c r="G226" s="12">
        <v>2.074186046511628</v>
      </c>
      <c r="H226" s="11">
        <v>0.0</v>
      </c>
    </row>
    <row r="227" ht="17.25" customHeight="1">
      <c r="B227" s="3" t="s">
        <v>222</v>
      </c>
      <c r="C227" s="11">
        <v>8.0</v>
      </c>
      <c r="D227" s="11">
        <v>8.0</v>
      </c>
      <c r="E227" s="11">
        <v>7.0</v>
      </c>
      <c r="F227" s="6">
        <f t="shared" si="1"/>
        <v>0.875</v>
      </c>
      <c r="G227" s="12">
        <v>1.0</v>
      </c>
      <c r="H227" s="11">
        <v>0.0</v>
      </c>
    </row>
    <row r="228" ht="17.25" customHeight="1">
      <c r="B228" s="3" t="s">
        <v>223</v>
      </c>
      <c r="C228" s="11">
        <v>4.0</v>
      </c>
      <c r="D228" s="11">
        <v>4.0</v>
      </c>
      <c r="E228" s="11">
        <v>3.0</v>
      </c>
      <c r="F228" s="6">
        <f t="shared" si="1"/>
        <v>0.75</v>
      </c>
      <c r="G228" s="12">
        <v>1.900923076923077</v>
      </c>
      <c r="H228" s="11">
        <v>0.0</v>
      </c>
    </row>
    <row r="229" ht="17.25" customHeight="1">
      <c r="B229" s="3" t="s">
        <v>224</v>
      </c>
      <c r="C229" s="11">
        <v>1.0</v>
      </c>
      <c r="D229" s="11">
        <v>1.0</v>
      </c>
      <c r="E229" s="11">
        <v>0.0</v>
      </c>
      <c r="F229" s="6">
        <f t="shared" si="1"/>
        <v>0</v>
      </c>
      <c r="G229" s="12">
        <v>6.0</v>
      </c>
      <c r="H229" s="11">
        <v>0.0</v>
      </c>
    </row>
    <row r="230" ht="17.25" customHeight="1">
      <c r="B230" s="3" t="s">
        <v>225</v>
      </c>
      <c r="C230" s="11">
        <v>4.0</v>
      </c>
      <c r="D230" s="11">
        <v>4.0</v>
      </c>
      <c r="E230" s="11">
        <v>2.0</v>
      </c>
      <c r="F230" s="6">
        <f t="shared" si="1"/>
        <v>0.5</v>
      </c>
      <c r="G230" s="12">
        <v>1.0</v>
      </c>
      <c r="H230" s="11">
        <v>0.0</v>
      </c>
    </row>
    <row r="231" ht="17.25" customHeight="1">
      <c r="B231" s="3" t="s">
        <v>226</v>
      </c>
      <c r="C231" s="11">
        <v>3.0</v>
      </c>
      <c r="D231" s="11">
        <v>3.0</v>
      </c>
      <c r="E231" s="11">
        <v>1.0</v>
      </c>
      <c r="F231" s="6">
        <f t="shared" si="1"/>
        <v>0.3333333333</v>
      </c>
      <c r="G231" s="12">
        <v>1.0</v>
      </c>
      <c r="H231" s="11">
        <v>0.0</v>
      </c>
    </row>
    <row r="232" ht="17.25" customHeight="1">
      <c r="B232" s="3" t="s">
        <v>433</v>
      </c>
      <c r="C232" s="11">
        <v>1.0</v>
      </c>
      <c r="D232" s="11">
        <v>1.0</v>
      </c>
      <c r="E232" s="11">
        <v>1.0</v>
      </c>
      <c r="F232" s="6">
        <f t="shared" si="1"/>
        <v>1</v>
      </c>
      <c r="G232" s="12">
        <v>1.3095238095238095</v>
      </c>
      <c r="H232" s="11">
        <v>0.0</v>
      </c>
    </row>
    <row r="233" ht="17.25" customHeight="1">
      <c r="B233" s="3" t="s">
        <v>227</v>
      </c>
      <c r="C233" s="11">
        <v>19.0</v>
      </c>
      <c r="D233" s="11">
        <v>19.0</v>
      </c>
      <c r="E233" s="11">
        <v>19.0</v>
      </c>
      <c r="F233" s="6">
        <f t="shared" si="1"/>
        <v>1</v>
      </c>
      <c r="G233" s="12">
        <v>1.25</v>
      </c>
      <c r="H233" s="11">
        <v>0.0</v>
      </c>
    </row>
    <row r="234" ht="17.25" customHeight="1">
      <c r="B234" s="3" t="s">
        <v>434</v>
      </c>
      <c r="C234" s="11">
        <v>1.0</v>
      </c>
      <c r="D234" s="11">
        <v>1.0</v>
      </c>
      <c r="E234" s="11">
        <v>0.0</v>
      </c>
      <c r="F234" s="6">
        <f t="shared" si="1"/>
        <v>0</v>
      </c>
      <c r="G234" s="12">
        <v>7.25</v>
      </c>
      <c r="H234" s="11">
        <v>0.0</v>
      </c>
    </row>
    <row r="235" ht="17.25" customHeight="1">
      <c r="B235" s="3" t="s">
        <v>228</v>
      </c>
      <c r="C235" s="11">
        <v>1.0</v>
      </c>
      <c r="D235" s="11">
        <v>1.0</v>
      </c>
      <c r="E235" s="11">
        <v>0.0</v>
      </c>
      <c r="F235" s="6">
        <f t="shared" si="1"/>
        <v>0</v>
      </c>
      <c r="G235" s="12">
        <v>1.525</v>
      </c>
      <c r="H235" s="11">
        <v>0.0</v>
      </c>
    </row>
    <row r="236" ht="17.25" customHeight="1">
      <c r="B236" s="3" t="s">
        <v>229</v>
      </c>
      <c r="C236" s="11">
        <v>1.0</v>
      </c>
      <c r="D236" s="11">
        <v>1.0</v>
      </c>
      <c r="E236" s="11">
        <v>0.0</v>
      </c>
      <c r="F236" s="6">
        <f t="shared" si="1"/>
        <v>0</v>
      </c>
      <c r="G236" s="12">
        <v>1.5</v>
      </c>
      <c r="H236" s="11">
        <v>0.0</v>
      </c>
    </row>
    <row r="237" ht="17.25" customHeight="1">
      <c r="B237" s="3" t="s">
        <v>435</v>
      </c>
      <c r="C237" s="11">
        <v>1.0</v>
      </c>
      <c r="D237" s="11">
        <v>1.0</v>
      </c>
      <c r="E237" s="11">
        <v>0.0</v>
      </c>
      <c r="F237" s="6">
        <f t="shared" si="1"/>
        <v>0</v>
      </c>
      <c r="G237" s="12">
        <v>3.85</v>
      </c>
      <c r="H237" s="11">
        <v>0.0</v>
      </c>
    </row>
    <row r="238" ht="17.25" customHeight="1">
      <c r="B238" s="3" t="s">
        <v>230</v>
      </c>
      <c r="C238" s="11">
        <v>6.0</v>
      </c>
      <c r="D238" s="11">
        <v>7.0</v>
      </c>
      <c r="E238" s="11">
        <v>2.0</v>
      </c>
      <c r="F238" s="6">
        <f t="shared" si="1"/>
        <v>0.2857142857</v>
      </c>
      <c r="G238" s="12">
        <v>1.0</v>
      </c>
      <c r="H238" s="11">
        <v>0.0</v>
      </c>
    </row>
    <row r="239" ht="17.25" customHeight="1">
      <c r="B239" s="3" t="s">
        <v>231</v>
      </c>
      <c r="C239" s="11">
        <v>2.0</v>
      </c>
      <c r="D239" s="11">
        <v>2.0</v>
      </c>
      <c r="E239" s="11">
        <v>1.0</v>
      </c>
      <c r="F239" s="6">
        <f t="shared" si="1"/>
        <v>0.5</v>
      </c>
      <c r="G239" s="12">
        <v>4.0</v>
      </c>
      <c r="H239" s="11">
        <v>0.0</v>
      </c>
    </row>
    <row r="240" ht="17.25" customHeight="1">
      <c r="B240" s="3" t="s">
        <v>232</v>
      </c>
      <c r="C240" s="11">
        <v>1.0</v>
      </c>
      <c r="D240" s="11">
        <v>1.0</v>
      </c>
      <c r="E240" s="11">
        <v>1.0</v>
      </c>
      <c r="F240" s="6">
        <f t="shared" si="1"/>
        <v>1</v>
      </c>
      <c r="G240" s="12">
        <v>2.2625</v>
      </c>
      <c r="H240" s="11">
        <v>0.0</v>
      </c>
    </row>
    <row r="241" ht="17.25" customHeight="1">
      <c r="B241" s="3" t="s">
        <v>233</v>
      </c>
      <c r="C241" s="11">
        <v>12.0</v>
      </c>
      <c r="D241" s="11">
        <v>12.0</v>
      </c>
      <c r="E241" s="11">
        <v>9.0</v>
      </c>
      <c r="F241" s="6">
        <f t="shared" si="1"/>
        <v>0.75</v>
      </c>
      <c r="G241" s="12">
        <v>3.0</v>
      </c>
      <c r="H241" s="11">
        <v>0.0</v>
      </c>
    </row>
    <row r="242" ht="17.25" customHeight="1">
      <c r="B242" s="3" t="s">
        <v>234</v>
      </c>
      <c r="C242" s="11">
        <v>96.0</v>
      </c>
      <c r="D242" s="11">
        <v>97.0</v>
      </c>
      <c r="E242" s="11">
        <v>54.0</v>
      </c>
      <c r="F242" s="6">
        <f t="shared" si="1"/>
        <v>0.5567010309</v>
      </c>
      <c r="G242" s="12">
        <v>3.7423076923076923</v>
      </c>
      <c r="H242" s="11">
        <v>1.0</v>
      </c>
    </row>
    <row r="243" ht="17.25" customHeight="1">
      <c r="B243" s="3" t="s">
        <v>436</v>
      </c>
      <c r="C243" s="11">
        <v>1.0</v>
      </c>
      <c r="D243" s="11">
        <v>1.0</v>
      </c>
      <c r="E243" s="11">
        <v>1.0</v>
      </c>
      <c r="F243" s="6">
        <f t="shared" si="1"/>
        <v>1</v>
      </c>
      <c r="G243" s="12">
        <v>3.985294117647059</v>
      </c>
      <c r="H243" s="11">
        <v>0.0</v>
      </c>
    </row>
    <row r="244" ht="17.25" customHeight="1">
      <c r="B244" s="3" t="s">
        <v>235</v>
      </c>
      <c r="C244" s="11">
        <v>3.0</v>
      </c>
      <c r="D244" s="11">
        <v>3.0</v>
      </c>
      <c r="E244" s="11">
        <v>2.0</v>
      </c>
      <c r="F244" s="6">
        <f t="shared" si="1"/>
        <v>0.6666666667</v>
      </c>
      <c r="G244" s="12">
        <v>4.0</v>
      </c>
      <c r="H244" s="11">
        <v>0.0</v>
      </c>
    </row>
    <row r="245" ht="17.25" customHeight="1">
      <c r="B245" s="3" t="s">
        <v>236</v>
      </c>
      <c r="C245" s="11">
        <v>1.0</v>
      </c>
      <c r="D245" s="11">
        <v>1.0</v>
      </c>
      <c r="E245" s="11">
        <v>1.0</v>
      </c>
      <c r="F245" s="6">
        <f t="shared" si="1"/>
        <v>1</v>
      </c>
      <c r="G245" s="12">
        <v>2.0</v>
      </c>
      <c r="H245" s="11">
        <v>0.0</v>
      </c>
    </row>
    <row r="246" ht="17.25" customHeight="1">
      <c r="B246" s="3" t="s">
        <v>237</v>
      </c>
      <c r="C246" s="11">
        <v>6.0</v>
      </c>
      <c r="D246" s="11">
        <v>6.0</v>
      </c>
      <c r="E246" s="11">
        <v>5.0</v>
      </c>
      <c r="F246" s="6">
        <f t="shared" si="1"/>
        <v>0.8333333333</v>
      </c>
      <c r="G246" s="12">
        <v>3.1</v>
      </c>
      <c r="H246" s="11">
        <v>0.0</v>
      </c>
    </row>
    <row r="247" ht="17.25" customHeight="1">
      <c r="B247" s="3" t="s">
        <v>238</v>
      </c>
      <c r="C247" s="11">
        <v>33.0</v>
      </c>
      <c r="D247" s="11">
        <v>34.0</v>
      </c>
      <c r="E247" s="11">
        <v>19.0</v>
      </c>
      <c r="F247" s="6">
        <f t="shared" si="1"/>
        <v>0.5588235294</v>
      </c>
      <c r="G247" s="12">
        <v>3.0</v>
      </c>
      <c r="H247" s="11">
        <v>0.0</v>
      </c>
    </row>
    <row r="248" ht="17.25" customHeight="1">
      <c r="B248" s="3" t="s">
        <v>239</v>
      </c>
      <c r="C248" s="11">
        <v>2.0</v>
      </c>
      <c r="D248" s="11">
        <v>2.0</v>
      </c>
      <c r="E248" s="11">
        <v>1.0</v>
      </c>
      <c r="F248" s="6">
        <f t="shared" si="1"/>
        <v>0.5</v>
      </c>
      <c r="G248" s="12">
        <v>1.0</v>
      </c>
      <c r="H248" s="11">
        <v>0.0</v>
      </c>
    </row>
    <row r="249" ht="17.25" customHeight="1">
      <c r="B249" s="3" t="s">
        <v>240</v>
      </c>
      <c r="C249" s="11">
        <v>17.0</v>
      </c>
      <c r="D249" s="11">
        <v>18.0</v>
      </c>
      <c r="E249" s="11">
        <v>15.0</v>
      </c>
      <c r="F249" s="6">
        <f t="shared" si="1"/>
        <v>0.8333333333</v>
      </c>
      <c r="G249" s="12">
        <v>2.0</v>
      </c>
      <c r="H249" s="11">
        <v>0.0</v>
      </c>
    </row>
    <row r="250" ht="17.25" customHeight="1">
      <c r="B250" s="3" t="s">
        <v>241</v>
      </c>
      <c r="C250" s="11">
        <v>2.0</v>
      </c>
      <c r="D250" s="11">
        <v>2.0</v>
      </c>
      <c r="E250" s="11">
        <v>2.0</v>
      </c>
      <c r="F250" s="6">
        <f t="shared" si="1"/>
        <v>1</v>
      </c>
      <c r="G250" s="12">
        <v>1.0</v>
      </c>
      <c r="H250" s="11">
        <v>0.0</v>
      </c>
    </row>
    <row r="251" ht="17.25" customHeight="1">
      <c r="B251" s="3" t="s">
        <v>242</v>
      </c>
      <c r="C251" s="11">
        <v>1.0</v>
      </c>
      <c r="D251" s="11">
        <v>1.0</v>
      </c>
      <c r="E251" s="11">
        <v>1.0</v>
      </c>
      <c r="F251" s="6">
        <f t="shared" si="1"/>
        <v>1</v>
      </c>
      <c r="G251" s="12">
        <v>1.0</v>
      </c>
      <c r="H251" s="11">
        <v>0.0</v>
      </c>
    </row>
    <row r="252" ht="17.25" customHeight="1">
      <c r="B252" s="3" t="s">
        <v>243</v>
      </c>
      <c r="C252" s="11">
        <v>1.0</v>
      </c>
      <c r="D252" s="11">
        <v>1.0</v>
      </c>
      <c r="E252" s="11">
        <v>1.0</v>
      </c>
      <c r="F252" s="6">
        <f t="shared" si="1"/>
        <v>1</v>
      </c>
      <c r="G252" s="12">
        <v>2.375</v>
      </c>
      <c r="H252" s="11">
        <v>0.0</v>
      </c>
    </row>
    <row r="253" ht="17.25" customHeight="1">
      <c r="B253" s="3" t="s">
        <v>244</v>
      </c>
      <c r="C253" s="11">
        <v>1.0</v>
      </c>
      <c r="D253" s="11">
        <v>1.0</v>
      </c>
      <c r="E253" s="11">
        <v>0.0</v>
      </c>
      <c r="F253" s="6">
        <f t="shared" si="1"/>
        <v>0</v>
      </c>
      <c r="G253" s="12">
        <v>5.666666666666667</v>
      </c>
      <c r="H253" s="11">
        <v>0.0</v>
      </c>
    </row>
    <row r="254" ht="17.25" customHeight="1">
      <c r="B254" s="3" t="s">
        <v>437</v>
      </c>
      <c r="C254" s="11">
        <v>1.0</v>
      </c>
      <c r="D254" s="11">
        <v>1.0</v>
      </c>
      <c r="E254" s="11">
        <v>1.0</v>
      </c>
      <c r="F254" s="6">
        <f t="shared" si="1"/>
        <v>1</v>
      </c>
      <c r="G254" s="12">
        <v>16.0</v>
      </c>
      <c r="H254" s="11">
        <v>0.0</v>
      </c>
    </row>
    <row r="255" ht="17.25" customHeight="1">
      <c r="B255" s="3" t="s">
        <v>245</v>
      </c>
      <c r="C255" s="11">
        <v>1.0</v>
      </c>
      <c r="D255" s="11">
        <v>1.0</v>
      </c>
      <c r="E255" s="11">
        <v>1.0</v>
      </c>
      <c r="F255" s="6">
        <f t="shared" si="1"/>
        <v>1</v>
      </c>
      <c r="G255" s="12">
        <v>1.0</v>
      </c>
      <c r="H255" s="11">
        <v>0.0</v>
      </c>
    </row>
    <row r="256" ht="17.25" customHeight="1">
      <c r="B256" s="3" t="s">
        <v>438</v>
      </c>
      <c r="C256" s="11">
        <v>1.0</v>
      </c>
      <c r="D256" s="11">
        <v>1.0</v>
      </c>
      <c r="E256" s="11">
        <v>1.0</v>
      </c>
      <c r="F256" s="6">
        <f t="shared" si="1"/>
        <v>1</v>
      </c>
      <c r="G256" s="12">
        <v>1.0</v>
      </c>
      <c r="H256" s="11">
        <v>0.0</v>
      </c>
    </row>
    <row r="257" ht="17.25" customHeight="1">
      <c r="B257" s="3" t="s">
        <v>246</v>
      </c>
      <c r="C257" s="11">
        <v>4.0</v>
      </c>
      <c r="D257" s="11">
        <v>4.0</v>
      </c>
      <c r="E257" s="11">
        <v>3.0</v>
      </c>
      <c r="F257" s="6">
        <f t="shared" si="1"/>
        <v>0.75</v>
      </c>
      <c r="G257" s="12">
        <v>1.75</v>
      </c>
      <c r="H257" s="11">
        <v>0.0</v>
      </c>
    </row>
    <row r="258" ht="17.25" customHeight="1">
      <c r="B258" s="3" t="s">
        <v>247</v>
      </c>
      <c r="C258" s="11">
        <v>1.0</v>
      </c>
      <c r="D258" s="11">
        <v>1.0</v>
      </c>
      <c r="E258" s="11">
        <v>0.0</v>
      </c>
      <c r="F258" s="6">
        <f t="shared" si="1"/>
        <v>0</v>
      </c>
      <c r="G258" s="12">
        <v>2.0</v>
      </c>
      <c r="H258" s="11">
        <v>0.0</v>
      </c>
    </row>
    <row r="259" ht="17.25" customHeight="1">
      <c r="B259" s="3" t="s">
        <v>248</v>
      </c>
      <c r="C259" s="11">
        <v>19.0</v>
      </c>
      <c r="D259" s="11">
        <v>21.0</v>
      </c>
      <c r="E259" s="11">
        <v>17.0</v>
      </c>
      <c r="F259" s="6">
        <f t="shared" si="1"/>
        <v>0.8095238095</v>
      </c>
      <c r="G259" s="12">
        <v>3.75</v>
      </c>
      <c r="H259" s="11">
        <v>0.0</v>
      </c>
    </row>
    <row r="260" ht="17.25" customHeight="1">
      <c r="B260" s="3" t="s">
        <v>249</v>
      </c>
      <c r="C260" s="11">
        <v>15.0</v>
      </c>
      <c r="D260" s="11">
        <v>16.0</v>
      </c>
      <c r="E260" s="11">
        <v>13.0</v>
      </c>
      <c r="F260" s="6">
        <f t="shared" si="1"/>
        <v>0.8125</v>
      </c>
      <c r="G260" s="12">
        <v>1.0</v>
      </c>
      <c r="H260" s="11">
        <v>0.0</v>
      </c>
    </row>
    <row r="261" ht="17.25" customHeight="1">
      <c r="B261" s="3" t="s">
        <v>250</v>
      </c>
      <c r="C261" s="11">
        <v>9.0</v>
      </c>
      <c r="D261" s="11">
        <v>9.0</v>
      </c>
      <c r="E261" s="11">
        <v>2.0</v>
      </c>
      <c r="F261" s="6">
        <f t="shared" si="1"/>
        <v>0.2222222222</v>
      </c>
      <c r="G261" s="12">
        <v>3.3055555555555554</v>
      </c>
      <c r="H261" s="11">
        <v>0.0</v>
      </c>
    </row>
    <row r="262" ht="17.25" customHeight="1">
      <c r="B262" s="3" t="s">
        <v>251</v>
      </c>
      <c r="C262" s="11">
        <v>2.0</v>
      </c>
      <c r="D262" s="11">
        <v>2.0</v>
      </c>
      <c r="E262" s="11">
        <v>1.0</v>
      </c>
      <c r="F262" s="6">
        <f t="shared" si="1"/>
        <v>0.5</v>
      </c>
      <c r="G262" s="12">
        <v>1.0</v>
      </c>
      <c r="H262" s="11">
        <v>0.0</v>
      </c>
    </row>
    <row r="263" ht="17.25" customHeight="1">
      <c r="B263" s="3" t="s">
        <v>252</v>
      </c>
      <c r="C263" s="11">
        <v>2.0</v>
      </c>
      <c r="D263" s="11">
        <v>2.0</v>
      </c>
      <c r="E263" s="11">
        <v>1.0</v>
      </c>
      <c r="F263" s="6">
        <f t="shared" si="1"/>
        <v>0.5</v>
      </c>
      <c r="G263" s="12">
        <v>1.442857142857143</v>
      </c>
      <c r="H263" s="11">
        <v>0.0</v>
      </c>
    </row>
    <row r="264" ht="17.25" customHeight="1">
      <c r="B264" s="3" t="s">
        <v>253</v>
      </c>
      <c r="C264" s="11">
        <v>60.0</v>
      </c>
      <c r="D264" s="11">
        <v>63.0</v>
      </c>
      <c r="E264" s="11">
        <v>27.0</v>
      </c>
      <c r="F264" s="6">
        <f t="shared" si="1"/>
        <v>0.4285714286</v>
      </c>
      <c r="G264" s="12">
        <v>13.071428571428571</v>
      </c>
      <c r="H264" s="11">
        <v>3.0</v>
      </c>
    </row>
    <row r="265" ht="17.25" customHeight="1">
      <c r="B265" s="3" t="s">
        <v>254</v>
      </c>
      <c r="C265" s="11">
        <v>2.0</v>
      </c>
      <c r="D265" s="11">
        <v>2.0</v>
      </c>
      <c r="E265" s="11">
        <v>0.0</v>
      </c>
      <c r="F265" s="6">
        <f t="shared" si="1"/>
        <v>0</v>
      </c>
      <c r="G265" s="12">
        <v>2.5</v>
      </c>
      <c r="H265" s="11">
        <v>0.0</v>
      </c>
    </row>
    <row r="266" ht="17.25" customHeight="1">
      <c r="B266" s="3" t="s">
        <v>255</v>
      </c>
      <c r="C266" s="11">
        <v>4.0</v>
      </c>
      <c r="D266" s="11">
        <v>4.0</v>
      </c>
      <c r="E266" s="11">
        <v>0.0</v>
      </c>
      <c r="F266" s="6">
        <f t="shared" si="1"/>
        <v>0</v>
      </c>
      <c r="G266" s="12">
        <v>3.9571428571428573</v>
      </c>
      <c r="H266" s="11">
        <v>0.0</v>
      </c>
    </row>
    <row r="267" ht="17.25" customHeight="1">
      <c r="B267" s="3" t="s">
        <v>256</v>
      </c>
      <c r="C267" s="11">
        <v>1.0</v>
      </c>
      <c r="D267" s="11">
        <v>1.0</v>
      </c>
      <c r="E267" s="11">
        <v>0.0</v>
      </c>
      <c r="F267" s="6">
        <f t="shared" si="1"/>
        <v>0</v>
      </c>
      <c r="G267" s="12">
        <v>3.5166666666666666</v>
      </c>
      <c r="H267" s="11">
        <v>0.0</v>
      </c>
    </row>
    <row r="268" ht="17.25" customHeight="1">
      <c r="B268" s="3" t="s">
        <v>257</v>
      </c>
      <c r="C268" s="11">
        <v>8.0</v>
      </c>
      <c r="D268" s="11">
        <v>9.0</v>
      </c>
      <c r="E268" s="11">
        <v>6.0</v>
      </c>
      <c r="F268" s="6">
        <f t="shared" si="1"/>
        <v>0.6666666667</v>
      </c>
      <c r="G268" s="12">
        <v>1.5416666666666665</v>
      </c>
      <c r="H268" s="11">
        <v>0.0</v>
      </c>
    </row>
    <row r="269" ht="17.25" customHeight="1">
      <c r="B269" s="3" t="s">
        <v>258</v>
      </c>
      <c r="C269" s="11">
        <v>10.0</v>
      </c>
      <c r="D269" s="11">
        <v>10.0</v>
      </c>
      <c r="E269" s="11">
        <v>1.0</v>
      </c>
      <c r="F269" s="6">
        <f t="shared" si="1"/>
        <v>0.1</v>
      </c>
      <c r="G269" s="12">
        <v>3.25</v>
      </c>
      <c r="H269" s="11">
        <v>0.0</v>
      </c>
    </row>
    <row r="270" ht="17.25" customHeight="1">
      <c r="B270" s="3" t="s">
        <v>259</v>
      </c>
      <c r="C270" s="11">
        <v>1.0</v>
      </c>
      <c r="D270" s="11">
        <v>1.0</v>
      </c>
      <c r="E270" s="11">
        <v>1.0</v>
      </c>
      <c r="F270" s="6">
        <f t="shared" si="1"/>
        <v>1</v>
      </c>
      <c r="G270" s="12">
        <v>5.5</v>
      </c>
      <c r="H270" s="11">
        <v>0.0</v>
      </c>
    </row>
    <row r="271" ht="17.25" customHeight="1">
      <c r="B271" s="3" t="s">
        <v>260</v>
      </c>
      <c r="C271" s="11">
        <v>4.0</v>
      </c>
      <c r="D271" s="11">
        <v>4.0</v>
      </c>
      <c r="E271" s="11">
        <v>4.0</v>
      </c>
      <c r="F271" s="6">
        <f t="shared" si="1"/>
        <v>1</v>
      </c>
      <c r="G271" s="12">
        <v>2.5</v>
      </c>
      <c r="H271" s="11">
        <v>0.0</v>
      </c>
    </row>
    <row r="272" ht="17.25" customHeight="1">
      <c r="B272" s="3" t="s">
        <v>261</v>
      </c>
      <c r="C272" s="11">
        <v>23.0</v>
      </c>
      <c r="D272" s="11">
        <v>24.0</v>
      </c>
      <c r="E272" s="11">
        <v>23.0</v>
      </c>
      <c r="F272" s="6">
        <f t="shared" si="1"/>
        <v>0.9583333333</v>
      </c>
      <c r="G272" s="12">
        <v>2.8198924731182795</v>
      </c>
      <c r="H272" s="11">
        <v>0.0</v>
      </c>
    </row>
    <row r="273" ht="17.25" customHeight="1">
      <c r="B273" s="3" t="s">
        <v>262</v>
      </c>
      <c r="C273" s="11">
        <v>2.0</v>
      </c>
      <c r="D273" s="11">
        <v>2.0</v>
      </c>
      <c r="E273" s="11">
        <v>2.0</v>
      </c>
      <c r="F273" s="6">
        <f t="shared" si="1"/>
        <v>1</v>
      </c>
      <c r="G273" s="12">
        <v>1.1666666666666667</v>
      </c>
      <c r="H273" s="11">
        <v>0.0</v>
      </c>
    </row>
    <row r="274" ht="17.25" customHeight="1">
      <c r="B274" s="3" t="s">
        <v>263</v>
      </c>
      <c r="C274" s="11">
        <v>2.0</v>
      </c>
      <c r="D274" s="11">
        <v>2.0</v>
      </c>
      <c r="E274" s="11">
        <v>1.0</v>
      </c>
      <c r="F274" s="6">
        <f t="shared" si="1"/>
        <v>0.5</v>
      </c>
      <c r="G274" s="12">
        <v>2.392857142857143</v>
      </c>
      <c r="H274" s="11">
        <v>0.0</v>
      </c>
    </row>
    <row r="275" ht="17.25" customHeight="1">
      <c r="B275" s="3" t="s">
        <v>264</v>
      </c>
      <c r="C275" s="11">
        <v>6.0</v>
      </c>
      <c r="D275" s="11">
        <v>6.0</v>
      </c>
      <c r="E275" s="11">
        <v>2.0</v>
      </c>
      <c r="F275" s="6">
        <f t="shared" si="1"/>
        <v>0.3333333333</v>
      </c>
      <c r="G275" s="12">
        <v>2.45</v>
      </c>
      <c r="H275" s="11">
        <v>0.0</v>
      </c>
    </row>
    <row r="276" ht="17.25" customHeight="1">
      <c r="B276" s="3" t="s">
        <v>439</v>
      </c>
      <c r="C276" s="11">
        <v>1.0</v>
      </c>
      <c r="D276" s="11">
        <v>1.0</v>
      </c>
      <c r="E276" s="11">
        <v>1.0</v>
      </c>
      <c r="F276" s="6">
        <f t="shared" si="1"/>
        <v>1</v>
      </c>
      <c r="G276" s="12">
        <v>3.0</v>
      </c>
      <c r="H276" s="11">
        <v>0.0</v>
      </c>
    </row>
    <row r="277" ht="17.25" customHeight="1">
      <c r="B277" s="3" t="s">
        <v>265</v>
      </c>
      <c r="C277" s="11">
        <v>1.0</v>
      </c>
      <c r="D277" s="11">
        <v>1.0</v>
      </c>
      <c r="E277" s="11">
        <v>0.0</v>
      </c>
      <c r="F277" s="6">
        <f t="shared" si="1"/>
        <v>0</v>
      </c>
      <c r="G277" s="12">
        <v>3.125</v>
      </c>
      <c r="H277" s="11">
        <v>0.0</v>
      </c>
    </row>
    <row r="278" ht="17.25" customHeight="1">
      <c r="B278" s="3" t="s">
        <v>266</v>
      </c>
      <c r="C278" s="11">
        <v>7.0</v>
      </c>
      <c r="D278" s="11">
        <v>7.0</v>
      </c>
      <c r="E278" s="11">
        <v>5.0</v>
      </c>
      <c r="F278" s="6">
        <f t="shared" si="1"/>
        <v>0.7142857143</v>
      </c>
      <c r="G278" s="12">
        <v>1.0</v>
      </c>
      <c r="H278" s="11">
        <v>0.0</v>
      </c>
    </row>
    <row r="279" ht="17.25" customHeight="1">
      <c r="B279" s="3" t="s">
        <v>267</v>
      </c>
      <c r="C279" s="11">
        <v>2.0</v>
      </c>
      <c r="D279" s="11">
        <v>2.0</v>
      </c>
      <c r="E279" s="11">
        <v>2.0</v>
      </c>
      <c r="F279" s="6">
        <f t="shared" si="1"/>
        <v>1</v>
      </c>
      <c r="G279" s="12">
        <v>2.0634920634920637</v>
      </c>
      <c r="H279" s="11">
        <v>0.0</v>
      </c>
    </row>
    <row r="280" ht="17.25" customHeight="1">
      <c r="B280" s="3" t="s">
        <v>268</v>
      </c>
      <c r="C280" s="11">
        <v>3.0</v>
      </c>
      <c r="D280" s="11">
        <v>3.0</v>
      </c>
      <c r="E280" s="11">
        <v>2.0</v>
      </c>
      <c r="F280" s="6">
        <f t="shared" si="1"/>
        <v>0.6666666667</v>
      </c>
      <c r="G280" s="12">
        <v>1.0</v>
      </c>
      <c r="H280" s="11">
        <v>0.0</v>
      </c>
    </row>
    <row r="281" ht="17.25" customHeight="1">
      <c r="B281" s="3" t="s">
        <v>269</v>
      </c>
      <c r="C281" s="11">
        <v>2.0</v>
      </c>
      <c r="D281" s="11">
        <v>2.0</v>
      </c>
      <c r="E281" s="11">
        <v>1.0</v>
      </c>
      <c r="F281" s="6">
        <f t="shared" si="1"/>
        <v>0.5</v>
      </c>
      <c r="G281" s="12">
        <v>1.375</v>
      </c>
      <c r="H281" s="11">
        <v>0.0</v>
      </c>
    </row>
    <row r="282" ht="17.25" customHeight="1">
      <c r="B282" s="3" t="s">
        <v>270</v>
      </c>
      <c r="C282" s="11">
        <v>5.0</v>
      </c>
      <c r="D282" s="11">
        <v>5.0</v>
      </c>
      <c r="E282" s="11">
        <v>4.0</v>
      </c>
      <c r="F282" s="6">
        <f t="shared" si="1"/>
        <v>0.8</v>
      </c>
      <c r="G282" s="12">
        <v>1.0</v>
      </c>
      <c r="H282" s="11">
        <v>0.0</v>
      </c>
    </row>
    <row r="283" ht="17.25" customHeight="1">
      <c r="B283" s="3" t="s">
        <v>271</v>
      </c>
      <c r="C283" s="11">
        <v>1.0</v>
      </c>
      <c r="D283" s="11">
        <v>1.0</v>
      </c>
      <c r="E283" s="11">
        <v>1.0</v>
      </c>
      <c r="F283" s="6">
        <f t="shared" si="1"/>
        <v>1</v>
      </c>
      <c r="G283" s="12">
        <v>2.3333333333333335</v>
      </c>
      <c r="H283" s="11">
        <v>0.0</v>
      </c>
    </row>
    <row r="284" ht="17.25" customHeight="1">
      <c r="B284" s="3" t="s">
        <v>272</v>
      </c>
      <c r="C284" s="11">
        <v>3.0</v>
      </c>
      <c r="D284" s="11">
        <v>3.0</v>
      </c>
      <c r="E284" s="11">
        <v>2.0</v>
      </c>
      <c r="F284" s="6">
        <f t="shared" si="1"/>
        <v>0.6666666667</v>
      </c>
      <c r="G284" s="12">
        <v>2.5</v>
      </c>
      <c r="H284" s="11">
        <v>0.0</v>
      </c>
    </row>
    <row r="285" ht="17.25" customHeight="1">
      <c r="B285" s="3" t="s">
        <v>273</v>
      </c>
      <c r="C285" s="11">
        <v>1.0</v>
      </c>
      <c r="D285" s="11">
        <v>1.0</v>
      </c>
      <c r="E285" s="11">
        <v>1.0</v>
      </c>
      <c r="F285" s="6">
        <f t="shared" si="1"/>
        <v>1</v>
      </c>
      <c r="G285" s="12">
        <v>6.285714285714286</v>
      </c>
      <c r="H285" s="11">
        <v>0.0</v>
      </c>
    </row>
    <row r="286" ht="17.25" customHeight="1">
      <c r="B286" s="3" t="s">
        <v>274</v>
      </c>
      <c r="C286" s="11">
        <v>60.0</v>
      </c>
      <c r="D286" s="11">
        <v>61.0</v>
      </c>
      <c r="E286" s="11">
        <v>49.0</v>
      </c>
      <c r="F286" s="6">
        <f t="shared" si="1"/>
        <v>0.8032786885</v>
      </c>
      <c r="G286" s="12">
        <v>1.0</v>
      </c>
      <c r="H286" s="11">
        <v>0.0</v>
      </c>
    </row>
    <row r="287" ht="17.25" customHeight="1">
      <c r="B287" s="3" t="s">
        <v>275</v>
      </c>
      <c r="C287" s="11">
        <v>13.0</v>
      </c>
      <c r="D287" s="11">
        <v>13.0</v>
      </c>
      <c r="E287" s="11">
        <v>11.0</v>
      </c>
      <c r="F287" s="6">
        <f t="shared" si="1"/>
        <v>0.8461538462</v>
      </c>
      <c r="G287" s="12">
        <v>1.0</v>
      </c>
      <c r="H287" s="11">
        <v>0.0</v>
      </c>
    </row>
    <row r="288" ht="17.25" customHeight="1">
      <c r="B288" s="3" t="s">
        <v>276</v>
      </c>
      <c r="C288" s="11">
        <v>4.0</v>
      </c>
      <c r="D288" s="11">
        <v>4.0</v>
      </c>
      <c r="E288" s="11">
        <v>3.0</v>
      </c>
      <c r="F288" s="6">
        <f t="shared" si="1"/>
        <v>0.75</v>
      </c>
      <c r="G288" s="12">
        <v>2.3333333333333335</v>
      </c>
      <c r="H288" s="11">
        <v>0.0</v>
      </c>
    </row>
    <row r="289" ht="17.25" customHeight="1">
      <c r="B289" s="3" t="s">
        <v>277</v>
      </c>
      <c r="C289" s="11">
        <v>81.0</v>
      </c>
      <c r="D289" s="11">
        <v>83.0</v>
      </c>
      <c r="E289" s="11">
        <v>51.0</v>
      </c>
      <c r="F289" s="6">
        <f t="shared" si="1"/>
        <v>0.6144578313</v>
      </c>
      <c r="G289" s="12">
        <v>4.610714285714286</v>
      </c>
      <c r="H289" s="11">
        <v>1.0</v>
      </c>
    </row>
    <row r="290" ht="17.25" customHeight="1">
      <c r="B290" s="3" t="s">
        <v>278</v>
      </c>
      <c r="C290" s="11">
        <v>3.0</v>
      </c>
      <c r="D290" s="11">
        <v>3.0</v>
      </c>
      <c r="E290" s="11">
        <v>1.0</v>
      </c>
      <c r="F290" s="6">
        <f t="shared" si="1"/>
        <v>0.3333333333</v>
      </c>
      <c r="G290" s="12">
        <v>3.854166666666667</v>
      </c>
      <c r="H290" s="11">
        <v>0.0</v>
      </c>
    </row>
    <row r="291" ht="17.25" customHeight="1">
      <c r="B291" s="3" t="s">
        <v>279</v>
      </c>
      <c r="C291" s="11">
        <v>10.0</v>
      </c>
      <c r="D291" s="11">
        <v>11.0</v>
      </c>
      <c r="E291" s="11">
        <v>2.0</v>
      </c>
      <c r="F291" s="6">
        <f t="shared" si="1"/>
        <v>0.1818181818</v>
      </c>
      <c r="G291" s="12">
        <v>3.466666666666667</v>
      </c>
      <c r="H291" s="11">
        <v>0.0</v>
      </c>
    </row>
    <row r="292" ht="17.25" customHeight="1">
      <c r="B292" s="3" t="s">
        <v>280</v>
      </c>
      <c r="C292" s="11">
        <v>78.0</v>
      </c>
      <c r="D292" s="11">
        <v>88.0</v>
      </c>
      <c r="E292" s="11">
        <v>22.0</v>
      </c>
      <c r="F292" s="6">
        <f t="shared" si="1"/>
        <v>0.25</v>
      </c>
      <c r="G292" s="12">
        <v>2.4680306905370846</v>
      </c>
      <c r="H292" s="11">
        <v>1.0</v>
      </c>
    </row>
    <row r="293" ht="17.25" customHeight="1">
      <c r="B293" s="3" t="s">
        <v>281</v>
      </c>
      <c r="C293" s="11">
        <v>2.0</v>
      </c>
      <c r="D293" s="11">
        <v>2.0</v>
      </c>
      <c r="E293" s="11">
        <v>1.0</v>
      </c>
      <c r="F293" s="6">
        <f t="shared" si="1"/>
        <v>0.5</v>
      </c>
      <c r="G293" s="12">
        <v>3.3888888888888893</v>
      </c>
      <c r="H293" s="11">
        <v>0.0</v>
      </c>
    </row>
    <row r="294" ht="17.25" customHeight="1">
      <c r="B294" s="3" t="s">
        <v>282</v>
      </c>
      <c r="C294" s="11">
        <v>76.0</v>
      </c>
      <c r="D294" s="11">
        <v>76.0</v>
      </c>
      <c r="E294" s="11">
        <v>41.0</v>
      </c>
      <c r="F294" s="6">
        <f t="shared" si="1"/>
        <v>0.5394736842</v>
      </c>
      <c r="G294" s="12">
        <v>2.75</v>
      </c>
      <c r="H294" s="11">
        <v>0.0</v>
      </c>
    </row>
    <row r="295" ht="17.25" customHeight="1">
      <c r="B295" s="3" t="s">
        <v>283</v>
      </c>
      <c r="C295" s="11">
        <v>6.0</v>
      </c>
      <c r="D295" s="11">
        <v>6.0</v>
      </c>
      <c r="E295" s="11">
        <v>5.0</v>
      </c>
      <c r="F295" s="6">
        <f t="shared" si="1"/>
        <v>0.8333333333</v>
      </c>
      <c r="G295" s="12">
        <v>1.0</v>
      </c>
      <c r="H295" s="11">
        <v>0.0</v>
      </c>
    </row>
    <row r="296" ht="17.25" customHeight="1">
      <c r="B296" s="3" t="s">
        <v>284</v>
      </c>
      <c r="C296" s="11">
        <v>7.0</v>
      </c>
      <c r="D296" s="11">
        <v>8.0</v>
      </c>
      <c r="E296" s="11">
        <v>4.0</v>
      </c>
      <c r="F296" s="6">
        <f t="shared" si="1"/>
        <v>0.5</v>
      </c>
      <c r="G296" s="12">
        <v>1.0</v>
      </c>
      <c r="H296" s="11">
        <v>0.0</v>
      </c>
    </row>
    <row r="297" ht="17.25" customHeight="1">
      <c r="B297" s="3" t="s">
        <v>285</v>
      </c>
      <c r="C297" s="11">
        <v>91.0</v>
      </c>
      <c r="D297" s="11">
        <v>99.0</v>
      </c>
      <c r="E297" s="11">
        <v>34.0</v>
      </c>
      <c r="F297" s="6">
        <f t="shared" si="1"/>
        <v>0.3434343434</v>
      </c>
      <c r="G297" s="12">
        <v>3.254385964912281</v>
      </c>
      <c r="H297" s="11">
        <v>1.0</v>
      </c>
    </row>
    <row r="298" ht="17.25" customHeight="1">
      <c r="B298" s="3" t="s">
        <v>286</v>
      </c>
      <c r="C298" s="11">
        <v>11.0</v>
      </c>
      <c r="D298" s="11">
        <v>11.0</v>
      </c>
      <c r="E298" s="11">
        <v>6.0</v>
      </c>
      <c r="F298" s="6">
        <f t="shared" si="1"/>
        <v>0.5454545455</v>
      </c>
      <c r="G298" s="12">
        <v>1.6559139784946237</v>
      </c>
      <c r="H298" s="11">
        <v>0.0</v>
      </c>
    </row>
    <row r="299" ht="17.25" customHeight="1">
      <c r="B299" s="3" t="s">
        <v>287</v>
      </c>
      <c r="C299" s="11">
        <v>7.0</v>
      </c>
      <c r="D299" s="11">
        <v>8.0</v>
      </c>
      <c r="E299" s="11">
        <v>4.0</v>
      </c>
      <c r="F299" s="6">
        <f t="shared" si="1"/>
        <v>0.5</v>
      </c>
      <c r="G299" s="12">
        <v>5.314285714285715</v>
      </c>
      <c r="H299" s="11">
        <v>0.0</v>
      </c>
    </row>
    <row r="300" ht="17.25" customHeight="1">
      <c r="B300" s="3" t="s">
        <v>288</v>
      </c>
      <c r="C300" s="11">
        <v>1.0</v>
      </c>
      <c r="D300" s="11">
        <v>1.0</v>
      </c>
      <c r="E300" s="11">
        <v>1.0</v>
      </c>
      <c r="F300" s="6">
        <f t="shared" si="1"/>
        <v>1</v>
      </c>
      <c r="G300" s="12">
        <v>3.4416666666666664</v>
      </c>
      <c r="H300" s="11">
        <v>0.0</v>
      </c>
    </row>
    <row r="301" ht="17.25" customHeight="1">
      <c r="B301" s="3" t="s">
        <v>289</v>
      </c>
      <c r="C301" s="11">
        <v>16.0</v>
      </c>
      <c r="D301" s="11">
        <v>16.0</v>
      </c>
      <c r="E301" s="11">
        <v>13.0</v>
      </c>
      <c r="F301" s="6">
        <f t="shared" si="1"/>
        <v>0.8125</v>
      </c>
      <c r="G301" s="12">
        <v>1.3666666666666667</v>
      </c>
      <c r="H301" s="11">
        <v>0.0</v>
      </c>
    </row>
    <row r="302" ht="17.25" customHeight="1">
      <c r="B302" s="3" t="s">
        <v>290</v>
      </c>
      <c r="C302" s="11">
        <v>6.0</v>
      </c>
      <c r="D302" s="11">
        <v>6.0</v>
      </c>
      <c r="E302" s="11">
        <v>0.0</v>
      </c>
      <c r="F302" s="6">
        <f t="shared" si="1"/>
        <v>0</v>
      </c>
      <c r="G302" s="12">
        <v>2.0</v>
      </c>
      <c r="H302" s="11">
        <v>0.0</v>
      </c>
    </row>
    <row r="303" ht="17.25" customHeight="1">
      <c r="B303" s="3" t="s">
        <v>291</v>
      </c>
      <c r="C303" s="11">
        <v>5.0</v>
      </c>
      <c r="D303" s="11">
        <v>5.0</v>
      </c>
      <c r="E303" s="11">
        <v>3.0</v>
      </c>
      <c r="F303" s="6">
        <f t="shared" si="1"/>
        <v>0.6</v>
      </c>
      <c r="G303" s="12">
        <v>3.884677419354839</v>
      </c>
      <c r="H303" s="11">
        <v>0.0</v>
      </c>
    </row>
    <row r="304" ht="17.25" customHeight="1">
      <c r="B304" s="3" t="s">
        <v>293</v>
      </c>
      <c r="C304" s="11">
        <v>2.0</v>
      </c>
      <c r="D304" s="11">
        <v>2.0</v>
      </c>
      <c r="E304" s="11">
        <v>2.0</v>
      </c>
      <c r="F304" s="6">
        <f t="shared" si="1"/>
        <v>1</v>
      </c>
      <c r="G304" s="12">
        <v>8.08974358974359</v>
      </c>
      <c r="H304" s="11">
        <v>0.0</v>
      </c>
    </row>
    <row r="305" ht="17.25" customHeight="1">
      <c r="B305" s="3" t="s">
        <v>294</v>
      </c>
      <c r="C305" s="11">
        <v>5.0</v>
      </c>
      <c r="D305" s="11">
        <v>5.0</v>
      </c>
      <c r="E305" s="11">
        <v>2.0</v>
      </c>
      <c r="F305" s="6">
        <f t="shared" si="1"/>
        <v>0.4</v>
      </c>
      <c r="G305" s="12">
        <v>2.3333333333333335</v>
      </c>
      <c r="H305" s="11">
        <v>0.0</v>
      </c>
    </row>
    <row r="306" ht="17.25" customHeight="1">
      <c r="B306" s="3" t="s">
        <v>295</v>
      </c>
      <c r="C306" s="11">
        <v>65.0</v>
      </c>
      <c r="D306" s="11">
        <v>68.0</v>
      </c>
      <c r="E306" s="11">
        <v>29.0</v>
      </c>
      <c r="F306" s="6">
        <f t="shared" si="1"/>
        <v>0.4264705882</v>
      </c>
      <c r="G306" s="12">
        <v>5.834848484848485</v>
      </c>
      <c r="H306" s="11">
        <v>2.0</v>
      </c>
    </row>
    <row r="307" ht="17.25" customHeight="1">
      <c r="B307" s="3" t="s">
        <v>296</v>
      </c>
      <c r="C307" s="11">
        <v>7.0</v>
      </c>
      <c r="D307" s="11">
        <v>7.0</v>
      </c>
      <c r="E307" s="11">
        <v>2.0</v>
      </c>
      <c r="F307" s="6">
        <f t="shared" si="1"/>
        <v>0.2857142857</v>
      </c>
      <c r="G307" s="12">
        <v>2.0</v>
      </c>
      <c r="H307" s="11">
        <v>0.0</v>
      </c>
    </row>
    <row r="308" ht="17.25" customHeight="1">
      <c r="B308" s="3" t="s">
        <v>297</v>
      </c>
      <c r="C308" s="11">
        <v>19.0</v>
      </c>
      <c r="D308" s="11">
        <v>21.0</v>
      </c>
      <c r="E308" s="11">
        <v>5.0</v>
      </c>
      <c r="F308" s="6">
        <f t="shared" si="1"/>
        <v>0.2380952381</v>
      </c>
      <c r="G308" s="12">
        <v>4.422413793103448</v>
      </c>
      <c r="H308" s="11">
        <v>3.0</v>
      </c>
    </row>
    <row r="309" ht="17.25" customHeight="1">
      <c r="B309" s="3" t="s">
        <v>298</v>
      </c>
      <c r="C309" s="11">
        <v>30.0</v>
      </c>
      <c r="D309" s="11">
        <v>34.0</v>
      </c>
      <c r="E309" s="11">
        <v>13.0</v>
      </c>
      <c r="F309" s="6">
        <f t="shared" si="1"/>
        <v>0.3823529412</v>
      </c>
      <c r="G309" s="12">
        <v>2.9444444444444446</v>
      </c>
      <c r="H309" s="11">
        <v>1.0</v>
      </c>
    </row>
    <row r="310" ht="17.25" customHeight="1">
      <c r="B310" s="3" t="s">
        <v>299</v>
      </c>
      <c r="C310" s="11">
        <v>1934.0</v>
      </c>
      <c r="D310" s="11">
        <v>2100.0</v>
      </c>
      <c r="E310" s="11">
        <v>558.0</v>
      </c>
      <c r="F310" s="6">
        <f t="shared" si="1"/>
        <v>0.2657142857</v>
      </c>
      <c r="G310" s="12">
        <v>3.6199916274792714</v>
      </c>
      <c r="H310" s="11">
        <v>28.0</v>
      </c>
    </row>
    <row r="311" ht="17.25" customHeight="1">
      <c r="B311" s="3" t="s">
        <v>300</v>
      </c>
      <c r="C311" s="11">
        <v>11.0</v>
      </c>
      <c r="D311" s="11">
        <v>11.0</v>
      </c>
      <c r="E311" s="11">
        <v>4.0</v>
      </c>
      <c r="F311" s="6">
        <f t="shared" si="1"/>
        <v>0.3636363636</v>
      </c>
      <c r="G311" s="12">
        <v>5.3375</v>
      </c>
      <c r="H311" s="11">
        <v>0.0</v>
      </c>
    </row>
    <row r="312" ht="17.25" customHeight="1">
      <c r="B312" s="3" t="s">
        <v>301</v>
      </c>
      <c r="C312" s="11">
        <v>6.0</v>
      </c>
      <c r="D312" s="11">
        <v>6.0</v>
      </c>
      <c r="E312" s="11">
        <v>1.0</v>
      </c>
      <c r="F312" s="6">
        <f t="shared" si="1"/>
        <v>0.1666666667</v>
      </c>
      <c r="G312" s="12">
        <v>1.0</v>
      </c>
      <c r="H312" s="11">
        <v>0.0</v>
      </c>
    </row>
    <row r="313" ht="17.25" customHeight="1">
      <c r="B313" s="3" t="s">
        <v>302</v>
      </c>
      <c r="C313" s="11">
        <v>79.0</v>
      </c>
      <c r="D313" s="11">
        <v>84.0</v>
      </c>
      <c r="E313" s="11">
        <v>29.0</v>
      </c>
      <c r="F313" s="6">
        <f t="shared" si="1"/>
        <v>0.3452380952</v>
      </c>
      <c r="G313" s="12">
        <v>2.27724358974359</v>
      </c>
      <c r="H313" s="11">
        <v>0.0</v>
      </c>
    </row>
    <row r="314" ht="17.25" customHeight="1">
      <c r="B314" s="3" t="s">
        <v>303</v>
      </c>
      <c r="C314" s="11">
        <v>1.0</v>
      </c>
      <c r="D314" s="11">
        <v>1.0</v>
      </c>
      <c r="E314" s="11">
        <v>1.0</v>
      </c>
      <c r="F314" s="6">
        <f t="shared" si="1"/>
        <v>1</v>
      </c>
      <c r="G314" s="12">
        <v>2.0</v>
      </c>
      <c r="H314" s="11">
        <v>0.0</v>
      </c>
    </row>
    <row r="315" ht="17.25" customHeight="1">
      <c r="B315" s="3" t="s">
        <v>304</v>
      </c>
      <c r="C315" s="11">
        <v>1.0</v>
      </c>
      <c r="D315" s="11">
        <v>1.0</v>
      </c>
      <c r="E315" s="11">
        <v>1.0</v>
      </c>
      <c r="F315" s="6">
        <f t="shared" si="1"/>
        <v>1</v>
      </c>
      <c r="G315" s="12">
        <v>1.0</v>
      </c>
      <c r="H315" s="11">
        <v>0.0</v>
      </c>
    </row>
    <row r="316" ht="17.25" customHeight="1">
      <c r="B316" s="3" t="s">
        <v>305</v>
      </c>
      <c r="C316" s="11">
        <v>78.0</v>
      </c>
      <c r="D316" s="11">
        <v>78.0</v>
      </c>
      <c r="E316" s="11">
        <v>41.0</v>
      </c>
      <c r="F316" s="6">
        <f t="shared" si="1"/>
        <v>0.5256410256</v>
      </c>
      <c r="G316" s="12">
        <v>4.0</v>
      </c>
      <c r="H316" s="11">
        <v>0.0</v>
      </c>
    </row>
    <row r="317" ht="17.25" customHeight="1">
      <c r="B317" s="3" t="s">
        <v>306</v>
      </c>
      <c r="C317" s="11">
        <v>19.0</v>
      </c>
      <c r="D317" s="11">
        <v>20.0</v>
      </c>
      <c r="E317" s="11">
        <v>10.0</v>
      </c>
      <c r="F317" s="6">
        <f t="shared" si="1"/>
        <v>0.5</v>
      </c>
      <c r="G317" s="12">
        <v>4.0</v>
      </c>
      <c r="H317" s="11">
        <v>1.0</v>
      </c>
    </row>
    <row r="318" ht="17.25" customHeight="1">
      <c r="B318" s="3" t="s">
        <v>307</v>
      </c>
      <c r="C318" s="11">
        <v>18.0</v>
      </c>
      <c r="D318" s="11">
        <v>18.0</v>
      </c>
      <c r="E318" s="11">
        <v>12.0</v>
      </c>
      <c r="F318" s="6">
        <f t="shared" si="1"/>
        <v>0.6666666667</v>
      </c>
      <c r="G318" s="12">
        <v>1.4817073170731707</v>
      </c>
      <c r="H318" s="11">
        <v>0.0</v>
      </c>
    </row>
    <row r="319" ht="17.25" customHeight="1">
      <c r="B319" s="3" t="s">
        <v>308</v>
      </c>
      <c r="C319" s="11">
        <v>17.0</v>
      </c>
      <c r="D319" s="11">
        <v>17.0</v>
      </c>
      <c r="E319" s="11">
        <v>7.0</v>
      </c>
      <c r="F319" s="6">
        <f t="shared" si="1"/>
        <v>0.4117647059</v>
      </c>
      <c r="G319" s="12">
        <v>1.0</v>
      </c>
      <c r="H319" s="11">
        <v>0.0</v>
      </c>
    </row>
    <row r="320" ht="17.25" customHeight="1">
      <c r="B320" s="3" t="s">
        <v>309</v>
      </c>
      <c r="C320" s="11">
        <v>35.0</v>
      </c>
      <c r="D320" s="11">
        <v>37.0</v>
      </c>
      <c r="E320" s="11">
        <v>17.0</v>
      </c>
      <c r="F320" s="6">
        <f t="shared" si="1"/>
        <v>0.4594594595</v>
      </c>
      <c r="G320" s="12">
        <v>7.2333333333333325</v>
      </c>
      <c r="H320" s="11">
        <v>1.0</v>
      </c>
    </row>
    <row r="321" ht="17.25" customHeight="1">
      <c r="B321" s="3" t="s">
        <v>310</v>
      </c>
      <c r="C321" s="11">
        <v>8.0</v>
      </c>
      <c r="D321" s="11">
        <v>8.0</v>
      </c>
      <c r="E321" s="11">
        <v>2.0</v>
      </c>
      <c r="F321" s="6">
        <f t="shared" si="1"/>
        <v>0.25</v>
      </c>
      <c r="G321" s="12">
        <v>3.857142857142857</v>
      </c>
      <c r="H321" s="11">
        <v>1.0</v>
      </c>
    </row>
    <row r="322" ht="17.25" customHeight="1">
      <c r="B322" s="3" t="s">
        <v>311</v>
      </c>
      <c r="C322" s="11">
        <v>7.0</v>
      </c>
      <c r="D322" s="11">
        <v>7.0</v>
      </c>
      <c r="E322" s="11">
        <v>1.0</v>
      </c>
      <c r="F322" s="6">
        <f t="shared" si="1"/>
        <v>0.1428571429</v>
      </c>
      <c r="G322" s="12">
        <v>2.0</v>
      </c>
      <c r="H322" s="11">
        <v>0.0</v>
      </c>
    </row>
    <row r="323" ht="17.25" customHeight="1">
      <c r="B323" s="3" t="s">
        <v>312</v>
      </c>
      <c r="C323" s="11">
        <v>60.0</v>
      </c>
      <c r="D323" s="11">
        <v>62.0</v>
      </c>
      <c r="E323" s="11">
        <v>28.0</v>
      </c>
      <c r="F323" s="6">
        <f t="shared" si="1"/>
        <v>0.4516129032</v>
      </c>
      <c r="G323" s="12">
        <v>2.988408878747018</v>
      </c>
      <c r="H323" s="11">
        <v>4.0</v>
      </c>
    </row>
    <row r="324" ht="17.25" customHeight="1">
      <c r="B324" s="3" t="s">
        <v>313</v>
      </c>
      <c r="C324" s="11">
        <v>35.0</v>
      </c>
      <c r="D324" s="11">
        <v>35.0</v>
      </c>
      <c r="E324" s="11">
        <v>26.0</v>
      </c>
      <c r="F324" s="6">
        <f t="shared" si="1"/>
        <v>0.7428571429</v>
      </c>
      <c r="G324" s="12">
        <v>3.833333333333333</v>
      </c>
      <c r="H324" s="11">
        <v>0.0</v>
      </c>
    </row>
    <row r="325" ht="17.25" customHeight="1">
      <c r="B325" s="3" t="s">
        <v>440</v>
      </c>
      <c r="C325" s="11">
        <v>1.0</v>
      </c>
      <c r="D325" s="11">
        <v>1.0</v>
      </c>
      <c r="E325" s="11">
        <v>0.0</v>
      </c>
      <c r="F325" s="6">
        <f t="shared" si="1"/>
        <v>0</v>
      </c>
      <c r="G325" s="12">
        <v>2.0</v>
      </c>
      <c r="H325" s="11">
        <v>0.0</v>
      </c>
    </row>
    <row r="326" ht="17.25" customHeight="1">
      <c r="B326" s="3" t="s">
        <v>314</v>
      </c>
      <c r="C326" s="11">
        <v>15.0</v>
      </c>
      <c r="D326" s="11">
        <v>15.0</v>
      </c>
      <c r="E326" s="11">
        <v>8.0</v>
      </c>
      <c r="F326" s="6">
        <f t="shared" si="1"/>
        <v>0.5333333333</v>
      </c>
      <c r="G326" s="12">
        <v>2.8461538461538463</v>
      </c>
      <c r="H326" s="11">
        <v>0.0</v>
      </c>
    </row>
    <row r="327" ht="17.25" customHeight="1">
      <c r="B327" s="3" t="s">
        <v>315</v>
      </c>
      <c r="C327" s="11">
        <v>1.0</v>
      </c>
      <c r="D327" s="11">
        <v>1.0</v>
      </c>
      <c r="E327" s="11">
        <v>1.0</v>
      </c>
      <c r="F327" s="6">
        <f t="shared" si="1"/>
        <v>1</v>
      </c>
      <c r="G327" s="12">
        <v>2.0</v>
      </c>
      <c r="H327" s="11">
        <v>0.0</v>
      </c>
    </row>
    <row r="328" ht="17.25" customHeight="1">
      <c r="B328" s="3" t="s">
        <v>316</v>
      </c>
      <c r="C328" s="11">
        <v>5.0</v>
      </c>
      <c r="D328" s="11">
        <v>5.0</v>
      </c>
      <c r="E328" s="11">
        <v>2.0</v>
      </c>
      <c r="F328" s="6">
        <f t="shared" si="1"/>
        <v>0.4</v>
      </c>
      <c r="G328" s="12">
        <v>1.0</v>
      </c>
      <c r="H328" s="11">
        <v>0.0</v>
      </c>
    </row>
    <row r="329" ht="17.25" customHeight="1">
      <c r="B329" s="3" t="s">
        <v>317</v>
      </c>
      <c r="C329" s="11">
        <v>123.0</v>
      </c>
      <c r="D329" s="11">
        <v>133.0</v>
      </c>
      <c r="E329" s="11">
        <v>68.0</v>
      </c>
      <c r="F329" s="6">
        <f t="shared" si="1"/>
        <v>0.5112781955</v>
      </c>
      <c r="G329" s="12">
        <v>3.229166666666667</v>
      </c>
      <c r="H329" s="11">
        <v>1.0</v>
      </c>
    </row>
    <row r="330" ht="17.25" customHeight="1">
      <c r="B330" s="3" t="s">
        <v>318</v>
      </c>
      <c r="C330" s="11">
        <v>4.0</v>
      </c>
      <c r="D330" s="11">
        <v>4.0</v>
      </c>
      <c r="E330" s="11">
        <v>3.0</v>
      </c>
      <c r="F330" s="6">
        <f t="shared" si="1"/>
        <v>0.75</v>
      </c>
      <c r="G330" s="12">
        <v>5.097701149425287</v>
      </c>
      <c r="H330" s="11">
        <v>0.0</v>
      </c>
    </row>
    <row r="331" ht="17.25" customHeight="1">
      <c r="B331" s="3" t="s">
        <v>319</v>
      </c>
      <c r="C331" s="11">
        <v>1.0</v>
      </c>
      <c r="D331" s="11">
        <v>1.0</v>
      </c>
      <c r="E331" s="11">
        <v>0.0</v>
      </c>
      <c r="F331" s="6">
        <f t="shared" si="1"/>
        <v>0</v>
      </c>
      <c r="G331" s="12">
        <v>1.0</v>
      </c>
      <c r="H331" s="11">
        <v>0.0</v>
      </c>
    </row>
    <row r="332" ht="17.25" customHeight="1">
      <c r="B332" s="3" t="s">
        <v>320</v>
      </c>
      <c r="C332" s="11">
        <v>1.0</v>
      </c>
      <c r="D332" s="11">
        <v>1.0</v>
      </c>
      <c r="E332" s="11">
        <v>1.0</v>
      </c>
      <c r="F332" s="6">
        <f t="shared" si="1"/>
        <v>1</v>
      </c>
      <c r="G332" s="12">
        <v>3.95</v>
      </c>
      <c r="H332" s="11">
        <v>0.0</v>
      </c>
    </row>
    <row r="333" ht="17.25" customHeight="1">
      <c r="B333" s="3" t="s">
        <v>321</v>
      </c>
      <c r="C333" s="11">
        <v>1.0</v>
      </c>
      <c r="D333" s="11">
        <v>1.0</v>
      </c>
      <c r="E333" s="11">
        <v>1.0</v>
      </c>
      <c r="F333" s="6">
        <f t="shared" si="1"/>
        <v>1</v>
      </c>
      <c r="G333" s="12">
        <v>2.0</v>
      </c>
      <c r="H333" s="11">
        <v>0.0</v>
      </c>
    </row>
    <row r="334" ht="17.25" customHeight="1">
      <c r="B334" s="3" t="s">
        <v>322</v>
      </c>
      <c r="C334" s="11">
        <v>22.0</v>
      </c>
      <c r="D334" s="11">
        <v>22.0</v>
      </c>
      <c r="E334" s="11">
        <v>10.0</v>
      </c>
      <c r="F334" s="6">
        <f t="shared" si="1"/>
        <v>0.4545454545</v>
      </c>
      <c r="G334" s="12">
        <v>2.930836707152497</v>
      </c>
      <c r="H334" s="11">
        <v>1.0</v>
      </c>
    </row>
    <row r="335" ht="17.25" customHeight="1">
      <c r="B335" s="3" t="s">
        <v>323</v>
      </c>
      <c r="C335" s="11">
        <v>44.0</v>
      </c>
      <c r="D335" s="11">
        <v>45.0</v>
      </c>
      <c r="E335" s="11">
        <v>17.0</v>
      </c>
      <c r="F335" s="6">
        <f t="shared" si="1"/>
        <v>0.3777777778</v>
      </c>
      <c r="G335" s="12">
        <v>2.020161290322581</v>
      </c>
      <c r="H335" s="11">
        <v>0.0</v>
      </c>
    </row>
    <row r="336" ht="17.25" customHeight="1">
      <c r="B336" s="3" t="s">
        <v>324</v>
      </c>
      <c r="C336" s="11">
        <v>49.0</v>
      </c>
      <c r="D336" s="11">
        <v>53.0</v>
      </c>
      <c r="E336" s="11">
        <v>30.0</v>
      </c>
      <c r="F336" s="6">
        <f t="shared" si="1"/>
        <v>0.5660377358</v>
      </c>
      <c r="G336" s="12">
        <v>1.75</v>
      </c>
      <c r="H336" s="11">
        <v>0.0</v>
      </c>
    </row>
    <row r="337" ht="17.25" customHeight="1">
      <c r="B337" s="3" t="s">
        <v>325</v>
      </c>
      <c r="C337" s="11">
        <v>13.0</v>
      </c>
      <c r="D337" s="11">
        <v>13.0</v>
      </c>
      <c r="E337" s="11">
        <v>6.0</v>
      </c>
      <c r="F337" s="6">
        <f t="shared" si="1"/>
        <v>0.4615384615</v>
      </c>
      <c r="G337" s="12">
        <v>2.583333333333333</v>
      </c>
      <c r="H337" s="11">
        <v>0.0</v>
      </c>
    </row>
    <row r="338" ht="17.25" customHeight="1">
      <c r="B338" s="3" t="s">
        <v>326</v>
      </c>
      <c r="C338" s="11">
        <v>4.0</v>
      </c>
      <c r="D338" s="11">
        <v>4.0</v>
      </c>
      <c r="E338" s="11">
        <v>2.0</v>
      </c>
      <c r="F338" s="6">
        <f t="shared" si="1"/>
        <v>0.5</v>
      </c>
      <c r="G338" s="12">
        <v>4.5</v>
      </c>
      <c r="H338" s="11">
        <v>0.0</v>
      </c>
    </row>
    <row r="339" ht="17.25" customHeight="1">
      <c r="B339" s="3" t="s">
        <v>327</v>
      </c>
      <c r="C339" s="11">
        <v>1.0</v>
      </c>
      <c r="D339" s="11">
        <v>1.0</v>
      </c>
      <c r="E339" s="11">
        <v>1.0</v>
      </c>
      <c r="F339" s="6">
        <f t="shared" si="1"/>
        <v>1</v>
      </c>
      <c r="G339" s="12">
        <v>10.5</v>
      </c>
      <c r="H339" s="11">
        <v>0.0</v>
      </c>
    </row>
    <row r="340" ht="17.25" customHeight="1">
      <c r="B340" s="3" t="s">
        <v>328</v>
      </c>
      <c r="C340" s="11">
        <v>19.0</v>
      </c>
      <c r="D340" s="11">
        <v>20.0</v>
      </c>
      <c r="E340" s="11">
        <v>3.0</v>
      </c>
      <c r="F340" s="6">
        <f t="shared" si="1"/>
        <v>0.15</v>
      </c>
      <c r="G340" s="12">
        <v>2.4752747252747254</v>
      </c>
      <c r="H340" s="11">
        <v>1.0</v>
      </c>
    </row>
    <row r="341" ht="17.25" customHeight="1">
      <c r="B341" s="3" t="s">
        <v>329</v>
      </c>
      <c r="C341" s="11">
        <v>1.0</v>
      </c>
      <c r="D341" s="11">
        <v>3.0</v>
      </c>
      <c r="E341" s="11">
        <v>2.0</v>
      </c>
      <c r="F341" s="6">
        <f t="shared" si="1"/>
        <v>0.6666666667</v>
      </c>
      <c r="G341" s="12">
        <v>2.9740853658536586</v>
      </c>
      <c r="H341" s="11">
        <v>0.0</v>
      </c>
    </row>
    <row r="342" ht="17.25" customHeight="1">
      <c r="B342" s="3" t="s">
        <v>330</v>
      </c>
      <c r="C342" s="11">
        <v>3.0</v>
      </c>
      <c r="D342" s="11">
        <v>3.0</v>
      </c>
      <c r="E342" s="11">
        <v>0.0</v>
      </c>
      <c r="F342" s="6">
        <f t="shared" si="1"/>
        <v>0</v>
      </c>
      <c r="G342" s="12">
        <v>5.0</v>
      </c>
      <c r="H342" s="11">
        <v>0.0</v>
      </c>
    </row>
    <row r="343" ht="17.25" customHeight="1">
      <c r="B343" s="3" t="s">
        <v>331</v>
      </c>
      <c r="C343" s="11">
        <v>1.0</v>
      </c>
      <c r="D343" s="11">
        <v>1.0</v>
      </c>
      <c r="E343" s="11">
        <v>0.0</v>
      </c>
      <c r="F343" s="6">
        <f t="shared" si="1"/>
        <v>0</v>
      </c>
      <c r="G343" s="12">
        <v>7.5</v>
      </c>
      <c r="H343" s="11">
        <v>0.0</v>
      </c>
    </row>
    <row r="344" ht="17.25" customHeight="1">
      <c r="B344" s="3" t="s">
        <v>332</v>
      </c>
      <c r="C344" s="11">
        <v>11.0</v>
      </c>
      <c r="D344" s="11">
        <v>11.0</v>
      </c>
      <c r="E344" s="11">
        <v>6.0</v>
      </c>
      <c r="F344" s="6">
        <f t="shared" si="1"/>
        <v>0.5454545455</v>
      </c>
      <c r="G344" s="12">
        <v>2.5</v>
      </c>
      <c r="H344" s="11">
        <v>0.0</v>
      </c>
    </row>
    <row r="345" ht="17.25" customHeight="1">
      <c r="B345" s="3" t="s">
        <v>333</v>
      </c>
      <c r="C345" s="11">
        <v>12.0</v>
      </c>
      <c r="D345" s="11">
        <v>12.0</v>
      </c>
      <c r="E345" s="11">
        <v>7.0</v>
      </c>
      <c r="F345" s="6">
        <f t="shared" si="1"/>
        <v>0.5833333333</v>
      </c>
      <c r="G345" s="12">
        <v>7.2</v>
      </c>
      <c r="H345" s="11">
        <v>0.0</v>
      </c>
    </row>
    <row r="346" ht="17.25" customHeight="1">
      <c r="B346" s="3" t="s">
        <v>334</v>
      </c>
      <c r="C346" s="11">
        <v>23.0</v>
      </c>
      <c r="D346" s="11">
        <v>23.0</v>
      </c>
      <c r="E346" s="11">
        <v>17.0</v>
      </c>
      <c r="F346" s="6">
        <f t="shared" si="1"/>
        <v>0.7391304348</v>
      </c>
      <c r="G346" s="12">
        <v>2.8388888888888886</v>
      </c>
      <c r="H346" s="11">
        <v>0.0</v>
      </c>
    </row>
    <row r="347" ht="17.25" customHeight="1">
      <c r="B347" s="3" t="s">
        <v>335</v>
      </c>
      <c r="C347" s="11">
        <v>2.0</v>
      </c>
      <c r="D347" s="11">
        <v>3.0</v>
      </c>
      <c r="E347" s="11">
        <v>1.0</v>
      </c>
      <c r="F347" s="6">
        <f t="shared" si="1"/>
        <v>0.3333333333</v>
      </c>
      <c r="G347" s="12">
        <v>2.3333333333333335</v>
      </c>
      <c r="H347" s="11">
        <v>0.0</v>
      </c>
    </row>
    <row r="348" ht="17.25" customHeight="1">
      <c r="B348" s="3" t="s">
        <v>336</v>
      </c>
      <c r="C348" s="11">
        <v>122.0</v>
      </c>
      <c r="D348" s="11">
        <v>129.0</v>
      </c>
      <c r="E348" s="11">
        <v>52.0</v>
      </c>
      <c r="F348" s="6">
        <f t="shared" si="1"/>
        <v>0.4031007752</v>
      </c>
      <c r="G348" s="12">
        <v>1.5</v>
      </c>
      <c r="H348" s="11">
        <v>0.0</v>
      </c>
    </row>
    <row r="349" ht="17.25" customHeight="1">
      <c r="B349" s="3" t="s">
        <v>337</v>
      </c>
      <c r="C349" s="11">
        <v>48.0</v>
      </c>
      <c r="D349" s="11">
        <v>49.0</v>
      </c>
      <c r="E349" s="11">
        <v>27.0</v>
      </c>
      <c r="F349" s="6">
        <f t="shared" si="1"/>
        <v>0.5510204082</v>
      </c>
      <c r="G349" s="12">
        <v>1.0</v>
      </c>
      <c r="H349" s="11">
        <v>0.0</v>
      </c>
    </row>
    <row r="350" ht="17.25" customHeight="1">
      <c r="B350" s="3" t="s">
        <v>338</v>
      </c>
      <c r="C350" s="11">
        <v>51.0</v>
      </c>
      <c r="D350" s="11">
        <v>55.0</v>
      </c>
      <c r="E350" s="11">
        <v>12.0</v>
      </c>
      <c r="F350" s="6">
        <f t="shared" si="1"/>
        <v>0.2181818182</v>
      </c>
      <c r="G350" s="12">
        <v>3.1066790352504636</v>
      </c>
      <c r="H350" s="11">
        <v>2.0</v>
      </c>
    </row>
    <row r="351" ht="17.25" customHeight="1">
      <c r="B351" s="3" t="s">
        <v>339</v>
      </c>
      <c r="C351" s="11">
        <v>589.0</v>
      </c>
      <c r="D351" s="11">
        <v>630.0</v>
      </c>
      <c r="E351" s="11">
        <v>193.0</v>
      </c>
      <c r="F351" s="6">
        <f t="shared" si="1"/>
        <v>0.3063492063</v>
      </c>
      <c r="G351" s="12">
        <v>4.242606790799562</v>
      </c>
      <c r="H351" s="11">
        <v>12.0</v>
      </c>
    </row>
    <row r="352" ht="17.25" customHeight="1">
      <c r="B352" s="3" t="s">
        <v>340</v>
      </c>
      <c r="C352" s="11">
        <v>7.0</v>
      </c>
      <c r="D352" s="11">
        <v>7.0</v>
      </c>
      <c r="E352" s="11">
        <v>3.0</v>
      </c>
      <c r="F352" s="6">
        <f t="shared" si="1"/>
        <v>0.4285714286</v>
      </c>
      <c r="G352" s="12">
        <v>1.3333333333333335</v>
      </c>
      <c r="H352" s="11">
        <v>0.0</v>
      </c>
    </row>
    <row r="353" ht="17.25" customHeight="1">
      <c r="B353" s="3" t="s">
        <v>341</v>
      </c>
      <c r="C353" s="11">
        <v>4.0</v>
      </c>
      <c r="D353" s="11">
        <v>5.0</v>
      </c>
      <c r="E353" s="11">
        <v>0.0</v>
      </c>
      <c r="F353" s="6">
        <f t="shared" si="1"/>
        <v>0</v>
      </c>
      <c r="G353" s="12">
        <v>1.0</v>
      </c>
      <c r="H353" s="11">
        <v>0.0</v>
      </c>
    </row>
    <row r="354" ht="17.25" customHeight="1">
      <c r="B354" s="3" t="s">
        <v>342</v>
      </c>
      <c r="C354" s="11">
        <v>7.0</v>
      </c>
      <c r="D354" s="11">
        <v>7.0</v>
      </c>
      <c r="E354" s="11">
        <v>0.0</v>
      </c>
      <c r="F354" s="6">
        <f t="shared" si="1"/>
        <v>0</v>
      </c>
      <c r="G354" s="12">
        <v>1.3333333333333333</v>
      </c>
      <c r="H354" s="11">
        <v>0.0</v>
      </c>
    </row>
    <row r="355" ht="17.25" customHeight="1">
      <c r="B355" s="3" t="s">
        <v>343</v>
      </c>
      <c r="C355" s="11">
        <v>89.0</v>
      </c>
      <c r="D355" s="11">
        <v>96.0</v>
      </c>
      <c r="E355" s="11">
        <v>26.0</v>
      </c>
      <c r="F355" s="6">
        <f t="shared" si="1"/>
        <v>0.2708333333</v>
      </c>
      <c r="G355" s="12">
        <v>3.092691622103387</v>
      </c>
      <c r="H355" s="11">
        <v>1.0</v>
      </c>
    </row>
    <row r="356" ht="17.25" customHeight="1">
      <c r="B356" s="3" t="s">
        <v>344</v>
      </c>
      <c r="C356" s="11">
        <v>4.0</v>
      </c>
      <c r="D356" s="11">
        <v>4.0</v>
      </c>
      <c r="E356" s="11">
        <v>1.0</v>
      </c>
      <c r="F356" s="6">
        <f t="shared" si="1"/>
        <v>0.25</v>
      </c>
      <c r="G356" s="12">
        <v>3.0</v>
      </c>
      <c r="H356" s="11">
        <v>0.0</v>
      </c>
    </row>
    <row r="357" ht="17.25" customHeight="1">
      <c r="B357" s="3" t="s">
        <v>345</v>
      </c>
      <c r="C357" s="11">
        <v>27.0</v>
      </c>
      <c r="D357" s="11">
        <v>31.0</v>
      </c>
      <c r="E357" s="11">
        <v>11.0</v>
      </c>
      <c r="F357" s="6">
        <f t="shared" si="1"/>
        <v>0.3548387097</v>
      </c>
      <c r="G357" s="12">
        <v>3.631111111111111</v>
      </c>
      <c r="H357" s="11">
        <v>2.0</v>
      </c>
    </row>
    <row r="358" ht="17.25" customHeight="1">
      <c r="B358" s="3" t="s">
        <v>346</v>
      </c>
      <c r="C358" s="11">
        <v>11.0</v>
      </c>
      <c r="D358" s="11">
        <v>11.0</v>
      </c>
      <c r="E358" s="11">
        <v>5.0</v>
      </c>
      <c r="F358" s="6">
        <f t="shared" si="1"/>
        <v>0.4545454545</v>
      </c>
      <c r="G358" s="12">
        <v>4.333333333333333</v>
      </c>
      <c r="H358" s="11">
        <v>0.0</v>
      </c>
    </row>
    <row r="359" ht="17.25" customHeight="1">
      <c r="B359" s="3" t="s">
        <v>347</v>
      </c>
      <c r="C359" s="11">
        <v>38.0</v>
      </c>
      <c r="D359" s="11">
        <v>47.0</v>
      </c>
      <c r="E359" s="11">
        <v>14.0</v>
      </c>
      <c r="F359" s="6">
        <f t="shared" si="1"/>
        <v>0.2978723404</v>
      </c>
      <c r="G359" s="12">
        <v>1.0</v>
      </c>
      <c r="H359" s="11">
        <v>0.0</v>
      </c>
    </row>
    <row r="360" ht="17.25" customHeight="1">
      <c r="B360" s="3" t="s">
        <v>348</v>
      </c>
      <c r="C360" s="11">
        <v>62.0</v>
      </c>
      <c r="D360" s="11">
        <v>64.0</v>
      </c>
      <c r="E360" s="11">
        <v>27.0</v>
      </c>
      <c r="F360" s="6">
        <f t="shared" si="1"/>
        <v>0.421875</v>
      </c>
      <c r="G360" s="12">
        <v>5.218696397941681</v>
      </c>
      <c r="H360" s="11">
        <v>1.0</v>
      </c>
    </row>
    <row r="361" ht="17.25" customHeight="1">
      <c r="B361" s="3" t="s">
        <v>349</v>
      </c>
      <c r="C361" s="11">
        <v>1.0</v>
      </c>
      <c r="D361" s="11">
        <v>1.0</v>
      </c>
      <c r="E361" s="11">
        <v>1.0</v>
      </c>
      <c r="F361" s="6">
        <f t="shared" si="1"/>
        <v>1</v>
      </c>
      <c r="G361" s="12">
        <v>6.0</v>
      </c>
      <c r="H361" s="11">
        <v>0.0</v>
      </c>
    </row>
    <row r="362" ht="17.25" customHeight="1">
      <c r="B362" s="3" t="s">
        <v>350</v>
      </c>
      <c r="C362" s="11">
        <v>74.0</v>
      </c>
      <c r="D362" s="11">
        <v>80.0</v>
      </c>
      <c r="E362" s="11">
        <v>37.0</v>
      </c>
      <c r="F362" s="6">
        <f t="shared" si="1"/>
        <v>0.4625</v>
      </c>
      <c r="G362" s="12">
        <v>3.6926406926406923</v>
      </c>
      <c r="H362" s="11">
        <v>2.0</v>
      </c>
    </row>
    <row r="363" ht="17.25" customHeight="1">
      <c r="B363" s="3" t="s">
        <v>352</v>
      </c>
      <c r="C363" s="11">
        <v>43.0</v>
      </c>
      <c r="D363" s="11">
        <v>45.0</v>
      </c>
      <c r="E363" s="11">
        <v>34.0</v>
      </c>
      <c r="F363" s="6">
        <f t="shared" si="1"/>
        <v>0.7555555556</v>
      </c>
      <c r="G363" s="12">
        <v>1.75</v>
      </c>
      <c r="H363" s="11">
        <v>0.0</v>
      </c>
    </row>
    <row r="364" ht="17.25" customHeight="1">
      <c r="B364" s="3" t="s">
        <v>353</v>
      </c>
      <c r="C364" s="11">
        <v>2.0</v>
      </c>
      <c r="D364" s="11">
        <v>2.0</v>
      </c>
      <c r="E364" s="11">
        <v>0.0</v>
      </c>
      <c r="F364" s="6">
        <f t="shared" si="1"/>
        <v>0</v>
      </c>
      <c r="G364" s="12">
        <v>3.5795454545454546</v>
      </c>
      <c r="H364" s="11">
        <v>0.0</v>
      </c>
    </row>
    <row r="365" ht="17.25" customHeight="1">
      <c r="B365" s="3" t="s">
        <v>354</v>
      </c>
      <c r="C365" s="11">
        <v>2.0</v>
      </c>
      <c r="D365" s="11">
        <v>2.0</v>
      </c>
      <c r="E365" s="11">
        <v>1.0</v>
      </c>
      <c r="F365" s="6">
        <f t="shared" si="1"/>
        <v>0.5</v>
      </c>
      <c r="G365" s="12">
        <v>1.875</v>
      </c>
      <c r="H365" s="11">
        <v>0.0</v>
      </c>
    </row>
    <row r="366" ht="17.25" customHeight="1">
      <c r="B366" s="3" t="s">
        <v>355</v>
      </c>
      <c r="C366" s="11">
        <v>23.0</v>
      </c>
      <c r="D366" s="11">
        <v>26.0</v>
      </c>
      <c r="E366" s="11">
        <v>14.0</v>
      </c>
      <c r="F366" s="6">
        <f t="shared" si="1"/>
        <v>0.5384615385</v>
      </c>
      <c r="G366" s="12">
        <v>3.3333333333333335</v>
      </c>
      <c r="H366" s="11">
        <v>0.0</v>
      </c>
    </row>
    <row r="367" ht="17.25" customHeight="1">
      <c r="B367" s="3" t="s">
        <v>356</v>
      </c>
      <c r="C367" s="11">
        <v>2.0</v>
      </c>
      <c r="D367" s="11">
        <v>2.0</v>
      </c>
      <c r="E367" s="11">
        <v>0.0</v>
      </c>
      <c r="F367" s="6">
        <f t="shared" si="1"/>
        <v>0</v>
      </c>
      <c r="G367" s="12">
        <v>2.7777777777777777</v>
      </c>
      <c r="H367" s="11">
        <v>0.0</v>
      </c>
    </row>
    <row r="368" ht="17.25" customHeight="1">
      <c r="B368" s="3" t="s">
        <v>357</v>
      </c>
      <c r="C368" s="11">
        <v>2.0</v>
      </c>
      <c r="D368" s="11">
        <v>3.0</v>
      </c>
      <c r="E368" s="11">
        <v>1.0</v>
      </c>
      <c r="F368" s="6">
        <f t="shared" si="1"/>
        <v>0.3333333333</v>
      </c>
      <c r="G368" s="12">
        <v>2.064102564102564</v>
      </c>
      <c r="H368" s="11">
        <v>0.0</v>
      </c>
    </row>
    <row r="369" ht="17.25" customHeight="1">
      <c r="B369" s="3" t="s">
        <v>358</v>
      </c>
      <c r="C369" s="11">
        <v>1.0</v>
      </c>
      <c r="D369" s="11">
        <v>1.0</v>
      </c>
      <c r="E369" s="11">
        <v>0.0</v>
      </c>
      <c r="F369" s="6">
        <f t="shared" si="1"/>
        <v>0</v>
      </c>
      <c r="G369" s="12">
        <v>1.0</v>
      </c>
      <c r="H369" s="11">
        <v>0.0</v>
      </c>
    </row>
    <row r="370" ht="17.25" customHeight="1">
      <c r="B370" s="3" t="s">
        <v>359</v>
      </c>
      <c r="C370" s="11">
        <v>18.0</v>
      </c>
      <c r="D370" s="11">
        <v>19.0</v>
      </c>
      <c r="E370" s="11">
        <v>14.0</v>
      </c>
      <c r="F370" s="6">
        <f t="shared" si="1"/>
        <v>0.7368421053</v>
      </c>
      <c r="G370" s="12">
        <v>4.333333333333333</v>
      </c>
      <c r="H370" s="11">
        <v>0.0</v>
      </c>
    </row>
    <row r="371" ht="17.25" customHeight="1">
      <c r="B371" s="3" t="s">
        <v>361</v>
      </c>
      <c r="C371" s="11">
        <v>1.0</v>
      </c>
      <c r="D371" s="11">
        <v>2.0</v>
      </c>
      <c r="E371" s="11">
        <v>0.0</v>
      </c>
      <c r="F371" s="6">
        <f t="shared" si="1"/>
        <v>0</v>
      </c>
      <c r="G371" s="12">
        <v>2.0</v>
      </c>
      <c r="H371" s="11">
        <v>0.0</v>
      </c>
    </row>
    <row r="372" ht="17.25" customHeight="1">
      <c r="B372" s="3" t="s">
        <v>362</v>
      </c>
      <c r="C372" s="11">
        <v>3.0</v>
      </c>
      <c r="D372" s="11">
        <v>3.0</v>
      </c>
      <c r="E372" s="11">
        <v>0.0</v>
      </c>
      <c r="F372" s="6">
        <f t="shared" si="1"/>
        <v>0</v>
      </c>
      <c r="G372" s="12">
        <v>1.0</v>
      </c>
      <c r="H372" s="11">
        <v>0.0</v>
      </c>
    </row>
    <row r="373" ht="17.25" customHeight="1">
      <c r="B373" s="3" t="s">
        <v>363</v>
      </c>
      <c r="C373" s="11">
        <v>3.0</v>
      </c>
      <c r="D373" s="11">
        <v>3.0</v>
      </c>
      <c r="E373" s="11">
        <v>0.0</v>
      </c>
      <c r="F373" s="6">
        <f t="shared" si="1"/>
        <v>0</v>
      </c>
      <c r="G373" s="12">
        <v>4.928571428571429</v>
      </c>
      <c r="H373" s="11">
        <v>0.0</v>
      </c>
    </row>
    <row r="374" ht="17.25" customHeight="1">
      <c r="B374" s="3" t="s">
        <v>364</v>
      </c>
      <c r="C374" s="11">
        <v>3.0</v>
      </c>
      <c r="D374" s="11">
        <v>3.0</v>
      </c>
      <c r="E374" s="11">
        <v>3.0</v>
      </c>
      <c r="F374" s="6">
        <f t="shared" si="1"/>
        <v>1</v>
      </c>
      <c r="G374" s="12">
        <v>3.1666666666666665</v>
      </c>
      <c r="H374" s="11">
        <v>0.0</v>
      </c>
    </row>
    <row r="375" ht="17.25" customHeight="1">
      <c r="B375" s="3" t="s">
        <v>365</v>
      </c>
      <c r="C375" s="11">
        <v>34.0</v>
      </c>
      <c r="D375" s="11">
        <v>35.0</v>
      </c>
      <c r="E375" s="11">
        <v>15.0</v>
      </c>
      <c r="F375" s="6">
        <f t="shared" si="1"/>
        <v>0.4285714286</v>
      </c>
      <c r="G375" s="12">
        <v>7.166666666666667</v>
      </c>
      <c r="H375" s="11">
        <v>0.0</v>
      </c>
    </row>
    <row r="376" ht="17.25" customHeight="1">
      <c r="B376" s="3" t="s">
        <v>366</v>
      </c>
      <c r="C376" s="11">
        <v>33.0</v>
      </c>
      <c r="D376" s="11">
        <v>34.0</v>
      </c>
      <c r="E376" s="11">
        <v>13.0</v>
      </c>
      <c r="F376" s="6">
        <f t="shared" si="1"/>
        <v>0.3823529412</v>
      </c>
      <c r="G376" s="12">
        <v>3.2738095238095237</v>
      </c>
      <c r="H376" s="11">
        <v>0.0</v>
      </c>
    </row>
    <row r="377" ht="17.25" customHeight="1">
      <c r="B377" s="3" t="s">
        <v>367</v>
      </c>
      <c r="C377" s="11">
        <v>10.0</v>
      </c>
      <c r="D377" s="11">
        <v>10.0</v>
      </c>
      <c r="E377" s="11">
        <v>4.0</v>
      </c>
      <c r="F377" s="6">
        <f t="shared" si="1"/>
        <v>0.4</v>
      </c>
      <c r="G377" s="12">
        <v>1.0</v>
      </c>
      <c r="H377" s="11">
        <v>0.0</v>
      </c>
    </row>
    <row r="378" ht="17.25" customHeight="1">
      <c r="B378" s="3" t="s">
        <v>368</v>
      </c>
      <c r="C378" s="11">
        <v>16.0</v>
      </c>
      <c r="D378" s="11">
        <v>17.0</v>
      </c>
      <c r="E378" s="11">
        <v>11.0</v>
      </c>
      <c r="F378" s="6">
        <f t="shared" si="1"/>
        <v>0.6470588235</v>
      </c>
      <c r="G378" s="12">
        <v>2.4411764705882355</v>
      </c>
      <c r="H378" s="11">
        <v>0.0</v>
      </c>
    </row>
    <row r="379" ht="17.25" customHeight="1">
      <c r="B379" s="3" t="s">
        <v>369</v>
      </c>
      <c r="C379" s="11">
        <v>2.0</v>
      </c>
      <c r="D379" s="11">
        <v>2.0</v>
      </c>
      <c r="E379" s="11">
        <v>0.0</v>
      </c>
      <c r="F379" s="6">
        <f t="shared" si="1"/>
        <v>0</v>
      </c>
      <c r="G379" s="12">
        <v>1.6538461538461537</v>
      </c>
      <c r="H379" s="11">
        <v>0.0</v>
      </c>
    </row>
    <row r="380" ht="17.25" customHeight="1">
      <c r="B380" s="3" t="s">
        <v>370</v>
      </c>
      <c r="C380" s="11">
        <v>17.0</v>
      </c>
      <c r="D380" s="11">
        <v>18.0</v>
      </c>
      <c r="E380" s="11">
        <v>9.0</v>
      </c>
      <c r="F380" s="6">
        <f t="shared" si="1"/>
        <v>0.5</v>
      </c>
      <c r="G380" s="12">
        <v>3.9</v>
      </c>
      <c r="H380" s="11">
        <v>0.0</v>
      </c>
    </row>
    <row r="381" ht="17.25" customHeight="1">
      <c r="B381" s="3" t="s">
        <v>371</v>
      </c>
      <c r="C381" s="7">
        <v>3.0</v>
      </c>
      <c r="D381" s="7">
        <v>3.0</v>
      </c>
      <c r="E381" s="7">
        <v>1.0</v>
      </c>
      <c r="F381" s="6">
        <f t="shared" si="1"/>
        <v>0.3333333333</v>
      </c>
      <c r="G381" s="12">
        <v>1.7058823529411764</v>
      </c>
      <c r="H381" s="11">
        <v>0.0</v>
      </c>
    </row>
    <row r="382" ht="17.25" customHeight="1">
      <c r="B382" s="3" t="s">
        <v>372</v>
      </c>
      <c r="C382" s="7">
        <v>2.0</v>
      </c>
      <c r="D382" s="7">
        <v>6.0</v>
      </c>
      <c r="E382" s="7">
        <v>2.0</v>
      </c>
      <c r="F382" s="6">
        <f t="shared" si="1"/>
        <v>0.3333333333</v>
      </c>
      <c r="G382" s="12">
        <v>1.0</v>
      </c>
      <c r="H382" s="11">
        <v>0.0</v>
      </c>
    </row>
    <row r="383" ht="17.25" customHeight="1">
      <c r="B383" s="3" t="s">
        <v>373</v>
      </c>
      <c r="C383" s="7">
        <v>5.0</v>
      </c>
      <c r="D383" s="7">
        <v>5.0</v>
      </c>
      <c r="E383" s="7">
        <v>3.0</v>
      </c>
      <c r="F383" s="6">
        <f t="shared" si="1"/>
        <v>0.6</v>
      </c>
      <c r="G383" s="12">
        <v>1.6666666666666667</v>
      </c>
      <c r="H383" s="11">
        <v>0.0</v>
      </c>
    </row>
    <row r="384" ht="17.25" customHeight="1">
      <c r="B384" s="3" t="s">
        <v>374</v>
      </c>
      <c r="C384" s="7">
        <v>1.0</v>
      </c>
      <c r="D384" s="7">
        <v>1.0</v>
      </c>
      <c r="E384" s="7">
        <v>1.0</v>
      </c>
      <c r="F384" s="6">
        <f t="shared" si="1"/>
        <v>1</v>
      </c>
      <c r="G384" s="12">
        <v>1.0</v>
      </c>
      <c r="H384" s="11">
        <v>0.0</v>
      </c>
    </row>
    <row r="385" ht="17.25" customHeight="1">
      <c r="B385" s="3" t="s">
        <v>375</v>
      </c>
      <c r="C385" s="7">
        <v>18.0</v>
      </c>
      <c r="D385" s="7">
        <v>19.0</v>
      </c>
      <c r="E385" s="7">
        <v>11.0</v>
      </c>
      <c r="F385" s="6">
        <f t="shared" si="1"/>
        <v>0.5789473684</v>
      </c>
      <c r="G385" s="12">
        <v>5.0</v>
      </c>
      <c r="H385" s="11">
        <v>0.0</v>
      </c>
    </row>
    <row r="386" ht="17.25" customHeight="1">
      <c r="B386" s="3" t="s">
        <v>376</v>
      </c>
      <c r="C386" s="7">
        <v>1.0</v>
      </c>
      <c r="D386" s="7">
        <v>1.0</v>
      </c>
      <c r="E386" s="7">
        <v>1.0</v>
      </c>
      <c r="F386" s="6">
        <f t="shared" si="1"/>
        <v>1</v>
      </c>
      <c r="G386" s="12">
        <v>2.0</v>
      </c>
      <c r="H386" s="11">
        <v>0.0</v>
      </c>
    </row>
    <row r="387" ht="17.25" customHeight="1">
      <c r="B387" s="3" t="s">
        <v>377</v>
      </c>
      <c r="C387" s="7">
        <v>4.0</v>
      </c>
      <c r="D387" s="7">
        <v>5.0</v>
      </c>
      <c r="E387" s="7">
        <v>4.0</v>
      </c>
      <c r="F387" s="6">
        <f t="shared" si="1"/>
        <v>0.8</v>
      </c>
      <c r="G387" s="12">
        <v>2.5</v>
      </c>
      <c r="H387" s="11">
        <v>0.0</v>
      </c>
    </row>
    <row r="388" ht="17.25" customHeight="1">
      <c r="B388" s="3" t="s">
        <v>378</v>
      </c>
      <c r="C388" s="7">
        <v>1.0</v>
      </c>
      <c r="D388" s="7">
        <v>1.0</v>
      </c>
      <c r="E388" s="7">
        <v>0.0</v>
      </c>
      <c r="F388" s="6">
        <f t="shared" si="1"/>
        <v>0</v>
      </c>
      <c r="G388" s="12">
        <v>1.2824074074074074</v>
      </c>
      <c r="H388" s="11">
        <v>0.0</v>
      </c>
    </row>
    <row r="389" ht="17.25" customHeight="1">
      <c r="B389" s="3" t="s">
        <v>379</v>
      </c>
      <c r="C389" s="7">
        <v>4.0</v>
      </c>
      <c r="D389" s="7">
        <v>4.0</v>
      </c>
      <c r="E389" s="7">
        <v>3.0</v>
      </c>
      <c r="F389" s="6">
        <f t="shared" si="1"/>
        <v>0.75</v>
      </c>
      <c r="G389" s="12">
        <v>1.5416666666666667</v>
      </c>
      <c r="H389" s="11">
        <v>0.0</v>
      </c>
    </row>
    <row r="390" ht="17.25" customHeight="1">
      <c r="B390" s="3" t="s">
        <v>380</v>
      </c>
      <c r="C390" s="7">
        <v>117.0</v>
      </c>
      <c r="D390" s="7">
        <v>117.0</v>
      </c>
      <c r="E390" s="7">
        <v>99.0</v>
      </c>
      <c r="F390" s="6">
        <f t="shared" si="1"/>
        <v>0.8461538462</v>
      </c>
      <c r="G390" s="12">
        <v>1.3333333333333333</v>
      </c>
      <c r="H390" s="11">
        <v>0.0</v>
      </c>
    </row>
    <row r="391" ht="17.25" customHeight="1">
      <c r="B391" s="3" t="s">
        <v>381</v>
      </c>
      <c r="C391" s="7">
        <v>3.0</v>
      </c>
      <c r="D391" s="7">
        <v>3.0</v>
      </c>
      <c r="E391" s="7">
        <v>2.0</v>
      </c>
      <c r="F391" s="6">
        <f t="shared" si="1"/>
        <v>0.6666666667</v>
      </c>
      <c r="G391" s="12">
        <v>5.0</v>
      </c>
      <c r="H391" s="11">
        <v>0.0</v>
      </c>
    </row>
    <row r="392" ht="17.25" customHeight="1">
      <c r="B392" s="3" t="s">
        <v>382</v>
      </c>
      <c r="C392" s="7">
        <v>3.0</v>
      </c>
      <c r="D392" s="7">
        <v>3.0</v>
      </c>
      <c r="E392" s="7">
        <v>2.0</v>
      </c>
      <c r="F392" s="6">
        <f t="shared" si="1"/>
        <v>0.6666666667</v>
      </c>
      <c r="G392" s="12">
        <v>1.3333333333333333</v>
      </c>
      <c r="H392" s="11">
        <v>0.0</v>
      </c>
    </row>
    <row r="393" ht="17.25" customHeight="1">
      <c r="B393" s="3" t="s">
        <v>383</v>
      </c>
      <c r="C393" s="7">
        <v>3.0</v>
      </c>
      <c r="D393" s="7">
        <v>3.0</v>
      </c>
      <c r="E393" s="7">
        <v>2.0</v>
      </c>
      <c r="F393" s="6">
        <f t="shared" si="1"/>
        <v>0.6666666667</v>
      </c>
      <c r="G393" s="12">
        <v>3.8333333333333335</v>
      </c>
      <c r="H393" s="11">
        <v>0.0</v>
      </c>
    </row>
    <row r="394" ht="17.25" customHeight="1">
      <c r="B394" s="3" t="s">
        <v>384</v>
      </c>
      <c r="C394" s="7">
        <v>3.0</v>
      </c>
      <c r="D394" s="7">
        <v>3.0</v>
      </c>
      <c r="E394" s="7">
        <v>2.0</v>
      </c>
      <c r="F394" s="6">
        <f t="shared" si="1"/>
        <v>0.6666666667</v>
      </c>
      <c r="G394" s="12">
        <v>1.0</v>
      </c>
      <c r="H394" s="11">
        <v>0.0</v>
      </c>
    </row>
    <row r="395" ht="17.25" customHeight="1">
      <c r="B395" s="3" t="s">
        <v>385</v>
      </c>
      <c r="C395" s="7">
        <v>4.0</v>
      </c>
      <c r="D395" s="7">
        <v>4.0</v>
      </c>
      <c r="E395" s="7">
        <v>3.0</v>
      </c>
      <c r="F395" s="6">
        <f t="shared" si="1"/>
        <v>0.75</v>
      </c>
      <c r="G395" s="12">
        <v>2.208333333333333</v>
      </c>
      <c r="H395" s="11">
        <v>0.0</v>
      </c>
    </row>
    <row r="396" ht="17.25" customHeight="1">
      <c r="B396" s="3" t="s">
        <v>386</v>
      </c>
      <c r="C396" s="7">
        <v>1.0</v>
      </c>
      <c r="D396" s="7">
        <v>1.0</v>
      </c>
      <c r="E396" s="7">
        <v>1.0</v>
      </c>
      <c r="F396" s="6">
        <f t="shared" si="1"/>
        <v>1</v>
      </c>
      <c r="G396" s="12">
        <v>5.5</v>
      </c>
      <c r="H396" s="11">
        <v>0.0</v>
      </c>
    </row>
    <row r="397" ht="17.25" customHeight="1">
      <c r="B397" s="3" t="s">
        <v>387</v>
      </c>
      <c r="C397" s="7">
        <v>109.0</v>
      </c>
      <c r="D397" s="7">
        <v>112.0</v>
      </c>
      <c r="E397" s="7">
        <v>51.0</v>
      </c>
      <c r="F397" s="6">
        <f t="shared" si="1"/>
        <v>0.4553571429</v>
      </c>
      <c r="G397" s="12">
        <v>4.0</v>
      </c>
      <c r="H397" s="11">
        <v>0.0</v>
      </c>
    </row>
    <row r="398" ht="17.25" customHeight="1">
      <c r="B398" s="3" t="s">
        <v>388</v>
      </c>
      <c r="C398" s="11">
        <v>14.0</v>
      </c>
      <c r="D398" s="11">
        <v>16.0</v>
      </c>
      <c r="E398" s="11">
        <v>2.0</v>
      </c>
      <c r="F398" s="6">
        <f t="shared" si="1"/>
        <v>0.125</v>
      </c>
      <c r="G398" s="12">
        <v>3.0</v>
      </c>
      <c r="H398" s="11">
        <v>0.0</v>
      </c>
    </row>
    <row r="399" ht="17.25" customHeight="1">
      <c r="B399" s="3" t="s">
        <v>389</v>
      </c>
      <c r="C399" s="11">
        <v>1.0</v>
      </c>
      <c r="D399" s="11">
        <v>1.0</v>
      </c>
      <c r="E399" s="11">
        <v>1.0</v>
      </c>
      <c r="F399" s="6">
        <f t="shared" si="1"/>
        <v>1</v>
      </c>
      <c r="G399" s="12">
        <v>1.0</v>
      </c>
      <c r="H399" s="11">
        <v>0.0</v>
      </c>
    </row>
    <row r="400" ht="17.25" customHeight="1">
      <c r="B400" s="3" t="s">
        <v>390</v>
      </c>
      <c r="C400" s="11">
        <v>2.0</v>
      </c>
      <c r="D400" s="11">
        <v>2.0</v>
      </c>
      <c r="E400" s="11">
        <v>1.0</v>
      </c>
      <c r="F400" s="6">
        <f t="shared" si="1"/>
        <v>0.5</v>
      </c>
      <c r="G400" s="12">
        <v>3.769230769230769</v>
      </c>
      <c r="H400" s="11">
        <v>0.0</v>
      </c>
    </row>
    <row r="401" ht="17.25" customHeight="1">
      <c r="C401" s="7"/>
      <c r="D401" s="7"/>
      <c r="E401" s="7"/>
      <c r="F401" s="8"/>
      <c r="H401" s="7"/>
    </row>
    <row r="402" ht="17.25" customHeight="1">
      <c r="C402" s="7"/>
      <c r="D402" s="7"/>
      <c r="E402" s="7"/>
      <c r="F402" s="8"/>
      <c r="H402" s="7"/>
    </row>
    <row r="403" ht="17.25" customHeight="1">
      <c r="C403" s="7"/>
      <c r="D403" s="7"/>
      <c r="E403" s="7"/>
      <c r="F403" s="8"/>
      <c r="H403" s="7"/>
    </row>
    <row r="404" ht="17.25" customHeight="1">
      <c r="C404" s="7"/>
      <c r="D404" s="7"/>
      <c r="E404" s="7"/>
      <c r="F404" s="8"/>
      <c r="H404" s="7"/>
    </row>
    <row r="405" ht="17.25" customHeight="1">
      <c r="C405" s="7"/>
      <c r="D405" s="7"/>
      <c r="E405" s="7"/>
      <c r="F405" s="8"/>
      <c r="H405" s="7"/>
    </row>
    <row r="406" ht="17.25" customHeight="1">
      <c r="C406" s="7"/>
      <c r="D406" s="7"/>
      <c r="E406" s="7"/>
      <c r="F406" s="8"/>
      <c r="H406" s="7"/>
    </row>
    <row r="407" ht="17.25" customHeight="1">
      <c r="C407" s="7"/>
      <c r="D407" s="7"/>
      <c r="E407" s="7"/>
      <c r="F407" s="8"/>
      <c r="H407" s="7"/>
    </row>
    <row r="408" ht="17.25" customHeight="1">
      <c r="C408" s="7"/>
      <c r="D408" s="7"/>
      <c r="E408" s="7"/>
      <c r="F408" s="8"/>
      <c r="H408" s="7"/>
    </row>
    <row r="409" ht="17.25" customHeight="1">
      <c r="C409" s="7"/>
      <c r="D409" s="7"/>
      <c r="E409" s="7"/>
      <c r="F409" s="8"/>
      <c r="H409" s="7"/>
    </row>
    <row r="410" ht="17.25" customHeight="1">
      <c r="C410" s="7"/>
      <c r="D410" s="7"/>
      <c r="E410" s="7"/>
      <c r="F410" s="8"/>
      <c r="H410" s="7"/>
    </row>
    <row r="411" ht="17.25" customHeight="1">
      <c r="C411" s="7"/>
      <c r="D411" s="7"/>
      <c r="E411" s="7"/>
      <c r="F411" s="8"/>
      <c r="H411" s="7"/>
    </row>
    <row r="412" ht="17.25" customHeight="1">
      <c r="C412" s="7"/>
      <c r="D412" s="7"/>
      <c r="E412" s="7"/>
      <c r="F412" s="8"/>
      <c r="H412" s="7"/>
    </row>
    <row r="413" ht="17.25" customHeight="1">
      <c r="C413" s="7"/>
      <c r="D413" s="7"/>
      <c r="E413" s="7"/>
      <c r="F413" s="8"/>
      <c r="H413" s="7"/>
    </row>
    <row r="414" ht="17.25" customHeight="1">
      <c r="C414" s="7"/>
      <c r="D414" s="7"/>
      <c r="E414" s="7"/>
      <c r="F414" s="8"/>
      <c r="H414" s="7"/>
    </row>
    <row r="415" ht="17.25" customHeight="1">
      <c r="C415" s="7"/>
      <c r="D415" s="7"/>
      <c r="E415" s="7"/>
      <c r="F415" s="8"/>
      <c r="H415" s="7"/>
    </row>
    <row r="416" ht="17.25" customHeight="1">
      <c r="C416" s="7"/>
      <c r="D416" s="7"/>
      <c r="E416" s="7"/>
      <c r="F416" s="8"/>
      <c r="H416" s="7"/>
    </row>
    <row r="417" ht="17.25" customHeight="1">
      <c r="C417" s="7"/>
      <c r="D417" s="7"/>
      <c r="E417" s="7"/>
      <c r="F417" s="8"/>
      <c r="H417" s="7"/>
    </row>
    <row r="418" ht="17.25" customHeight="1">
      <c r="C418" s="7"/>
      <c r="D418" s="7"/>
      <c r="E418" s="7"/>
      <c r="F418" s="8"/>
      <c r="H418" s="7"/>
    </row>
    <row r="419" ht="17.25" customHeight="1">
      <c r="C419" s="7"/>
      <c r="D419" s="7"/>
      <c r="E419" s="7"/>
      <c r="F419" s="8"/>
      <c r="H419" s="7"/>
    </row>
    <row r="420" ht="17.25" customHeight="1">
      <c r="C420" s="7"/>
      <c r="D420" s="7"/>
      <c r="E420" s="7"/>
      <c r="F420" s="8"/>
      <c r="H420" s="7"/>
    </row>
    <row r="421" ht="17.25" customHeight="1">
      <c r="C421" s="7"/>
      <c r="D421" s="7"/>
      <c r="E421" s="7"/>
      <c r="F421" s="8"/>
      <c r="H421" s="7"/>
    </row>
    <row r="422" ht="17.25" customHeight="1">
      <c r="C422" s="7"/>
      <c r="D422" s="7"/>
      <c r="E422" s="7"/>
      <c r="F422" s="8"/>
      <c r="H422" s="7"/>
    </row>
    <row r="423" ht="17.25" customHeight="1">
      <c r="C423" s="7"/>
      <c r="D423" s="7"/>
      <c r="E423" s="7"/>
      <c r="F423" s="8"/>
      <c r="H423" s="7"/>
    </row>
    <row r="424" ht="17.25" customHeight="1">
      <c r="C424" s="7"/>
      <c r="D424" s="7"/>
      <c r="E424" s="7"/>
      <c r="F424" s="8"/>
      <c r="H424" s="7"/>
    </row>
    <row r="425" ht="17.25" customHeight="1">
      <c r="C425" s="7"/>
      <c r="D425" s="7"/>
      <c r="E425" s="7"/>
      <c r="F425" s="8"/>
      <c r="H425" s="7"/>
    </row>
    <row r="426" ht="17.25" customHeight="1">
      <c r="C426" s="7"/>
      <c r="D426" s="7"/>
      <c r="E426" s="7"/>
      <c r="F426" s="8"/>
      <c r="H426" s="7"/>
    </row>
    <row r="427" ht="17.25" customHeight="1">
      <c r="C427" s="7"/>
      <c r="D427" s="7"/>
      <c r="E427" s="7"/>
      <c r="F427" s="8"/>
      <c r="H427" s="7"/>
    </row>
    <row r="428" ht="17.25" customHeight="1">
      <c r="C428" s="7"/>
      <c r="D428" s="7"/>
      <c r="E428" s="7"/>
      <c r="F428" s="8"/>
      <c r="H428" s="7"/>
    </row>
    <row r="429" ht="17.25" customHeight="1">
      <c r="C429" s="7"/>
      <c r="D429" s="7"/>
      <c r="E429" s="7"/>
      <c r="F429" s="8"/>
      <c r="H429" s="7"/>
    </row>
    <row r="430" ht="17.25" customHeight="1">
      <c r="C430" s="7"/>
      <c r="D430" s="7"/>
      <c r="E430" s="7"/>
      <c r="F430" s="8"/>
      <c r="H430" s="7"/>
    </row>
    <row r="431" ht="17.25" customHeight="1">
      <c r="C431" s="7"/>
      <c r="D431" s="7"/>
      <c r="E431" s="7"/>
      <c r="F431" s="8"/>
      <c r="H431" s="7"/>
    </row>
    <row r="432" ht="17.25" customHeight="1">
      <c r="C432" s="7"/>
      <c r="D432" s="7"/>
      <c r="E432" s="7"/>
      <c r="F432" s="8"/>
      <c r="H432" s="7"/>
    </row>
    <row r="433" ht="17.25" customHeight="1">
      <c r="C433" s="7"/>
      <c r="D433" s="7"/>
      <c r="E433" s="7"/>
      <c r="F433" s="8"/>
      <c r="H433" s="7"/>
    </row>
    <row r="434" ht="17.25" customHeight="1">
      <c r="C434" s="7"/>
      <c r="D434" s="7"/>
      <c r="E434" s="7"/>
      <c r="F434" s="8"/>
      <c r="H434" s="7"/>
    </row>
    <row r="435" ht="17.25" customHeight="1">
      <c r="C435" s="7"/>
      <c r="D435" s="7"/>
      <c r="E435" s="7"/>
      <c r="F435" s="8"/>
      <c r="H435" s="7"/>
    </row>
    <row r="436" ht="17.25" customHeight="1">
      <c r="C436" s="7"/>
      <c r="D436" s="7"/>
      <c r="E436" s="7"/>
      <c r="F436" s="8"/>
      <c r="H436" s="7"/>
    </row>
    <row r="437" ht="17.25" customHeight="1">
      <c r="C437" s="7"/>
      <c r="D437" s="7"/>
      <c r="E437" s="7"/>
      <c r="F437" s="8"/>
      <c r="H437" s="7"/>
    </row>
    <row r="438" ht="17.25" customHeight="1">
      <c r="C438" s="7"/>
      <c r="D438" s="7"/>
      <c r="E438" s="7"/>
      <c r="F438" s="8"/>
      <c r="H438" s="7"/>
    </row>
    <row r="439" ht="17.25" customHeight="1">
      <c r="C439" s="7"/>
      <c r="D439" s="7"/>
      <c r="E439" s="7"/>
      <c r="F439" s="8"/>
      <c r="H439" s="7"/>
    </row>
    <row r="440" ht="17.25" customHeight="1">
      <c r="C440" s="7"/>
      <c r="D440" s="7"/>
      <c r="E440" s="7"/>
      <c r="F440" s="8"/>
      <c r="H440" s="7"/>
    </row>
    <row r="441" ht="17.25" customHeight="1">
      <c r="C441" s="7"/>
      <c r="D441" s="7"/>
      <c r="E441" s="7"/>
      <c r="F441" s="8"/>
      <c r="H441" s="7"/>
    </row>
    <row r="442" ht="17.25" customHeight="1">
      <c r="C442" s="7"/>
      <c r="D442" s="7"/>
      <c r="E442" s="7"/>
      <c r="F442" s="8"/>
      <c r="H442" s="7"/>
    </row>
    <row r="443" ht="17.25" customHeight="1">
      <c r="C443" s="7"/>
      <c r="D443" s="7"/>
      <c r="E443" s="7"/>
      <c r="F443" s="8"/>
      <c r="H443" s="7"/>
    </row>
    <row r="444" ht="17.25" customHeight="1">
      <c r="C444" s="7"/>
      <c r="D444" s="7"/>
      <c r="E444" s="7"/>
      <c r="F444" s="8"/>
      <c r="H444" s="7"/>
    </row>
    <row r="445" ht="17.25" customHeight="1">
      <c r="C445" s="7"/>
      <c r="D445" s="7"/>
      <c r="E445" s="7"/>
      <c r="F445" s="8"/>
      <c r="H445" s="7"/>
    </row>
    <row r="446" ht="17.25" customHeight="1">
      <c r="C446" s="7"/>
      <c r="D446" s="7"/>
      <c r="E446" s="7"/>
      <c r="F446" s="8"/>
      <c r="H446" s="7"/>
    </row>
    <row r="447" ht="17.25" customHeight="1">
      <c r="C447" s="7"/>
      <c r="D447" s="7"/>
      <c r="E447" s="7"/>
      <c r="F447" s="8"/>
      <c r="H447" s="7"/>
    </row>
    <row r="448" ht="17.25" customHeight="1">
      <c r="C448" s="7"/>
      <c r="D448" s="7"/>
      <c r="E448" s="7"/>
      <c r="F448" s="8"/>
      <c r="H448" s="7"/>
    </row>
    <row r="449" ht="17.25" customHeight="1">
      <c r="C449" s="7"/>
      <c r="D449" s="7"/>
      <c r="E449" s="7"/>
      <c r="F449" s="8"/>
      <c r="H449" s="7"/>
    </row>
    <row r="450" ht="17.25" customHeight="1">
      <c r="C450" s="7"/>
      <c r="D450" s="7"/>
      <c r="E450" s="7"/>
      <c r="F450" s="8"/>
      <c r="H450" s="7"/>
    </row>
    <row r="451" ht="17.25" customHeight="1">
      <c r="C451" s="7"/>
      <c r="D451" s="7"/>
      <c r="E451" s="7"/>
      <c r="F451" s="8"/>
      <c r="H451" s="7"/>
    </row>
    <row r="452" ht="17.25" customHeight="1">
      <c r="C452" s="7"/>
      <c r="D452" s="7"/>
      <c r="E452" s="7"/>
      <c r="F452" s="8"/>
      <c r="H452" s="7"/>
    </row>
    <row r="453" ht="17.25" customHeight="1">
      <c r="C453" s="7"/>
      <c r="D453" s="7"/>
      <c r="E453" s="7"/>
      <c r="F453" s="8"/>
      <c r="H453" s="7"/>
    </row>
    <row r="454" ht="17.25" customHeight="1">
      <c r="C454" s="7"/>
      <c r="D454" s="7"/>
      <c r="E454" s="7"/>
      <c r="F454" s="8"/>
      <c r="H454" s="7"/>
    </row>
    <row r="455" ht="17.25" customHeight="1">
      <c r="C455" s="7"/>
      <c r="D455" s="7"/>
      <c r="E455" s="7"/>
      <c r="F455" s="8"/>
      <c r="H455" s="7"/>
    </row>
    <row r="456" ht="17.25" customHeight="1">
      <c r="C456" s="7"/>
      <c r="D456" s="7"/>
      <c r="E456" s="7"/>
      <c r="F456" s="8"/>
      <c r="H456" s="7"/>
    </row>
    <row r="457" ht="17.25" customHeight="1">
      <c r="C457" s="7"/>
      <c r="D457" s="7"/>
      <c r="E457" s="7"/>
      <c r="F457" s="8"/>
      <c r="H457" s="7"/>
    </row>
    <row r="458" ht="17.25" customHeight="1">
      <c r="C458" s="7"/>
      <c r="D458" s="7"/>
      <c r="E458" s="7"/>
      <c r="F458" s="8"/>
      <c r="H458" s="7"/>
    </row>
    <row r="459" ht="17.25" customHeight="1">
      <c r="C459" s="7"/>
      <c r="D459" s="7"/>
      <c r="E459" s="7"/>
      <c r="F459" s="8"/>
      <c r="H459" s="7"/>
    </row>
    <row r="460" ht="17.25" customHeight="1">
      <c r="C460" s="7"/>
      <c r="D460" s="7"/>
      <c r="E460" s="7"/>
      <c r="F460" s="8"/>
      <c r="H460" s="7"/>
    </row>
    <row r="461" ht="17.25" customHeight="1">
      <c r="C461" s="7"/>
      <c r="D461" s="7"/>
      <c r="E461" s="7"/>
      <c r="F461" s="8"/>
      <c r="H461" s="7"/>
    </row>
    <row r="462" ht="17.25" customHeight="1">
      <c r="C462" s="7"/>
      <c r="D462" s="7"/>
      <c r="E462" s="7"/>
      <c r="F462" s="8"/>
      <c r="H462" s="7"/>
    </row>
    <row r="463" ht="17.25" customHeight="1">
      <c r="C463" s="7"/>
      <c r="D463" s="7"/>
      <c r="E463" s="7"/>
      <c r="F463" s="8"/>
      <c r="H463" s="7"/>
    </row>
    <row r="464" ht="17.25" customHeight="1">
      <c r="C464" s="7"/>
      <c r="D464" s="7"/>
      <c r="E464" s="7"/>
      <c r="F464" s="8"/>
      <c r="H464" s="7"/>
    </row>
    <row r="465" ht="17.25" customHeight="1">
      <c r="C465" s="7"/>
      <c r="D465" s="7"/>
      <c r="E465" s="7"/>
      <c r="F465" s="8"/>
      <c r="H465" s="7"/>
    </row>
    <row r="466" ht="17.25" customHeight="1">
      <c r="C466" s="7"/>
      <c r="D466" s="7"/>
      <c r="E466" s="7"/>
      <c r="F466" s="8"/>
      <c r="H466" s="7"/>
    </row>
    <row r="467" ht="17.25" customHeight="1">
      <c r="C467" s="7"/>
      <c r="D467" s="7"/>
      <c r="E467" s="7"/>
      <c r="F467" s="8"/>
      <c r="H467" s="7"/>
    </row>
    <row r="468" ht="17.25" customHeight="1">
      <c r="C468" s="7"/>
      <c r="D468" s="7"/>
      <c r="E468" s="7"/>
      <c r="F468" s="8"/>
      <c r="H468" s="7"/>
    </row>
    <row r="469" ht="17.25" customHeight="1">
      <c r="C469" s="7"/>
      <c r="D469" s="7"/>
      <c r="E469" s="7"/>
      <c r="F469" s="8"/>
      <c r="H469" s="7"/>
    </row>
    <row r="470" ht="17.25" customHeight="1">
      <c r="C470" s="7"/>
      <c r="D470" s="7"/>
      <c r="E470" s="7"/>
      <c r="F470" s="8"/>
      <c r="H470" s="7"/>
    </row>
    <row r="471" ht="17.25" customHeight="1">
      <c r="C471" s="7"/>
      <c r="D471" s="7"/>
      <c r="E471" s="7"/>
      <c r="F471" s="8"/>
      <c r="H471" s="7"/>
    </row>
    <row r="472" ht="17.25" customHeight="1">
      <c r="C472" s="7"/>
      <c r="D472" s="7"/>
      <c r="E472" s="7"/>
      <c r="F472" s="8"/>
      <c r="H472" s="7"/>
    </row>
    <row r="473" ht="17.25" customHeight="1">
      <c r="C473" s="7"/>
      <c r="D473" s="7"/>
      <c r="E473" s="7"/>
      <c r="F473" s="8"/>
      <c r="H473" s="7"/>
    </row>
    <row r="474" ht="17.25" customHeight="1">
      <c r="C474" s="7"/>
      <c r="D474" s="7"/>
      <c r="E474" s="7"/>
      <c r="F474" s="8"/>
      <c r="H474" s="7"/>
    </row>
    <row r="475" ht="17.25" customHeight="1">
      <c r="C475" s="7"/>
      <c r="D475" s="7"/>
      <c r="E475" s="7"/>
      <c r="F475" s="8"/>
      <c r="H475" s="7"/>
    </row>
    <row r="476" ht="17.25" customHeight="1">
      <c r="C476" s="7"/>
      <c r="D476" s="7"/>
      <c r="E476" s="7"/>
      <c r="F476" s="8"/>
      <c r="H476" s="7"/>
    </row>
    <row r="477" ht="17.25" customHeight="1">
      <c r="C477" s="7"/>
      <c r="D477" s="7"/>
      <c r="E477" s="7"/>
      <c r="F477" s="8"/>
      <c r="H477" s="7"/>
    </row>
    <row r="478" ht="17.25" customHeight="1">
      <c r="C478" s="7"/>
      <c r="D478" s="7"/>
      <c r="E478" s="7"/>
      <c r="F478" s="8"/>
      <c r="H478" s="7"/>
    </row>
    <row r="479" ht="17.25" customHeight="1">
      <c r="C479" s="7"/>
      <c r="D479" s="7"/>
      <c r="E479" s="7"/>
      <c r="F479" s="8"/>
      <c r="H479" s="7"/>
    </row>
    <row r="480" ht="17.25" customHeight="1">
      <c r="C480" s="7"/>
      <c r="D480" s="7"/>
      <c r="E480" s="7"/>
      <c r="F480" s="8"/>
      <c r="H480" s="7"/>
    </row>
    <row r="481" ht="17.25" customHeight="1">
      <c r="C481" s="7"/>
      <c r="D481" s="7"/>
      <c r="E481" s="7"/>
      <c r="F481" s="8"/>
      <c r="H481" s="7"/>
    </row>
    <row r="482" ht="17.25" customHeight="1">
      <c r="C482" s="7"/>
      <c r="D482" s="7"/>
      <c r="E482" s="7"/>
      <c r="F482" s="8"/>
      <c r="H482" s="7"/>
    </row>
    <row r="483" ht="17.25" customHeight="1">
      <c r="C483" s="7"/>
      <c r="D483" s="7"/>
      <c r="E483" s="7"/>
      <c r="F483" s="8"/>
      <c r="H483" s="7"/>
    </row>
    <row r="484" ht="17.25" customHeight="1">
      <c r="C484" s="7"/>
      <c r="D484" s="7"/>
      <c r="E484" s="7"/>
      <c r="F484" s="8"/>
      <c r="H484" s="7"/>
    </row>
    <row r="485" ht="17.25" customHeight="1">
      <c r="C485" s="7"/>
      <c r="D485" s="7"/>
      <c r="E485" s="7"/>
      <c r="F485" s="8"/>
      <c r="H485" s="7"/>
    </row>
    <row r="486" ht="17.25" customHeight="1">
      <c r="C486" s="7"/>
      <c r="D486" s="7"/>
      <c r="E486" s="7"/>
      <c r="F486" s="8"/>
      <c r="H486" s="7"/>
    </row>
    <row r="487" ht="17.25" customHeight="1">
      <c r="C487" s="7"/>
      <c r="D487" s="7"/>
      <c r="E487" s="7"/>
      <c r="F487" s="8"/>
      <c r="H487" s="7"/>
    </row>
    <row r="488" ht="17.25" customHeight="1">
      <c r="C488" s="7"/>
      <c r="D488" s="7"/>
      <c r="E488" s="7"/>
      <c r="F488" s="8"/>
      <c r="H488" s="7"/>
    </row>
    <row r="489" ht="17.25" customHeight="1">
      <c r="C489" s="7"/>
      <c r="D489" s="7"/>
      <c r="E489" s="7"/>
      <c r="F489" s="8"/>
      <c r="H489" s="7"/>
    </row>
    <row r="490" ht="17.25" customHeight="1">
      <c r="C490" s="7"/>
      <c r="D490" s="7"/>
      <c r="E490" s="7"/>
      <c r="F490" s="8"/>
      <c r="H490" s="7"/>
    </row>
    <row r="491" ht="17.25" customHeight="1">
      <c r="C491" s="7"/>
      <c r="D491" s="7"/>
      <c r="E491" s="7"/>
      <c r="F491" s="8"/>
      <c r="H491" s="7"/>
    </row>
    <row r="492" ht="17.25" customHeight="1">
      <c r="C492" s="7"/>
      <c r="D492" s="7"/>
      <c r="E492" s="7"/>
      <c r="F492" s="8"/>
      <c r="H492" s="7"/>
    </row>
    <row r="493" ht="17.25" customHeight="1">
      <c r="C493" s="7"/>
      <c r="D493" s="7"/>
      <c r="E493" s="7"/>
      <c r="F493" s="8"/>
      <c r="H493" s="7"/>
    </row>
    <row r="494" ht="17.25" customHeight="1">
      <c r="C494" s="7"/>
      <c r="D494" s="7"/>
      <c r="E494" s="7"/>
      <c r="F494" s="8"/>
      <c r="H494" s="7"/>
    </row>
    <row r="495" ht="17.25" customHeight="1">
      <c r="C495" s="7"/>
      <c r="D495" s="7"/>
      <c r="E495" s="7"/>
      <c r="F495" s="8"/>
      <c r="H495" s="7"/>
    </row>
    <row r="496" ht="17.25" customHeight="1">
      <c r="C496" s="7"/>
      <c r="D496" s="7"/>
      <c r="E496" s="7"/>
      <c r="F496" s="8"/>
      <c r="H496" s="7"/>
    </row>
    <row r="497" ht="17.25" customHeight="1">
      <c r="C497" s="7"/>
      <c r="D497" s="7"/>
      <c r="E497" s="7"/>
      <c r="F497" s="8"/>
      <c r="H497" s="7"/>
    </row>
    <row r="498" ht="17.25" customHeight="1">
      <c r="C498" s="7"/>
      <c r="D498" s="7"/>
      <c r="E498" s="7"/>
      <c r="F498" s="8"/>
      <c r="H498" s="7"/>
    </row>
    <row r="499" ht="17.25" customHeight="1">
      <c r="C499" s="7"/>
      <c r="D499" s="7"/>
      <c r="E499" s="7"/>
      <c r="F499" s="8"/>
      <c r="H499" s="7"/>
    </row>
    <row r="500" ht="17.25" customHeight="1">
      <c r="C500" s="7"/>
      <c r="D500" s="7"/>
      <c r="E500" s="7"/>
      <c r="F500" s="8"/>
      <c r="H500" s="7"/>
    </row>
    <row r="501" ht="17.25" customHeight="1">
      <c r="C501" s="7"/>
      <c r="D501" s="7"/>
      <c r="E501" s="7"/>
      <c r="F501" s="8"/>
      <c r="H501" s="7"/>
    </row>
    <row r="502" ht="17.25" customHeight="1">
      <c r="C502" s="7"/>
      <c r="D502" s="7"/>
      <c r="E502" s="7"/>
      <c r="F502" s="8"/>
      <c r="H502" s="7"/>
    </row>
    <row r="503" ht="17.25" customHeight="1">
      <c r="C503" s="7"/>
      <c r="D503" s="7"/>
      <c r="E503" s="7"/>
      <c r="F503" s="8"/>
      <c r="H503" s="7"/>
    </row>
    <row r="504" ht="17.25" customHeight="1">
      <c r="C504" s="7"/>
      <c r="D504" s="7"/>
      <c r="E504" s="7"/>
      <c r="F504" s="8"/>
      <c r="H504" s="7"/>
    </row>
    <row r="505" ht="17.25" customHeight="1">
      <c r="C505" s="7"/>
      <c r="D505" s="7"/>
      <c r="E505" s="7"/>
      <c r="F505" s="8"/>
      <c r="H505" s="7"/>
    </row>
    <row r="506" ht="17.25" customHeight="1">
      <c r="C506" s="7"/>
      <c r="D506" s="7"/>
      <c r="E506" s="7"/>
      <c r="F506" s="8"/>
      <c r="H506" s="7"/>
    </row>
    <row r="507" ht="17.25" customHeight="1">
      <c r="C507" s="7"/>
      <c r="D507" s="7"/>
      <c r="E507" s="7"/>
      <c r="F507" s="8"/>
      <c r="H507" s="7"/>
    </row>
    <row r="508" ht="17.25" customHeight="1">
      <c r="C508" s="7"/>
      <c r="D508" s="7"/>
      <c r="E508" s="7"/>
      <c r="F508" s="8"/>
      <c r="H508" s="7"/>
    </row>
    <row r="509" ht="17.25" customHeight="1">
      <c r="C509" s="7"/>
      <c r="D509" s="7"/>
      <c r="E509" s="7"/>
      <c r="F509" s="8"/>
      <c r="H509" s="7"/>
    </row>
    <row r="510" ht="17.25" customHeight="1">
      <c r="C510" s="7"/>
      <c r="D510" s="7"/>
      <c r="E510" s="7"/>
      <c r="F510" s="8"/>
      <c r="H510" s="7"/>
    </row>
    <row r="511" ht="17.25" customHeight="1">
      <c r="C511" s="7"/>
      <c r="D511" s="7"/>
      <c r="E511" s="7"/>
      <c r="F511" s="8"/>
      <c r="H511" s="7"/>
    </row>
    <row r="512" ht="17.25" customHeight="1">
      <c r="C512" s="7"/>
      <c r="D512" s="7"/>
      <c r="E512" s="7"/>
      <c r="F512" s="8"/>
      <c r="H512" s="7"/>
    </row>
    <row r="513" ht="17.25" customHeight="1">
      <c r="C513" s="7"/>
      <c r="D513" s="7"/>
      <c r="E513" s="7"/>
      <c r="F513" s="8"/>
      <c r="H513" s="7"/>
    </row>
    <row r="514" ht="17.25" customHeight="1">
      <c r="C514" s="7"/>
      <c r="D514" s="7"/>
      <c r="E514" s="7"/>
      <c r="F514" s="8"/>
      <c r="H514" s="7"/>
    </row>
    <row r="515" ht="17.25" customHeight="1">
      <c r="C515" s="7"/>
      <c r="D515" s="7"/>
      <c r="E515" s="7"/>
      <c r="F515" s="8"/>
      <c r="H515" s="7"/>
    </row>
    <row r="516" ht="17.25" customHeight="1">
      <c r="C516" s="7"/>
      <c r="D516" s="7"/>
      <c r="E516" s="7"/>
      <c r="F516" s="8"/>
      <c r="H516" s="7"/>
    </row>
    <row r="517" ht="17.25" customHeight="1">
      <c r="C517" s="7"/>
      <c r="D517" s="7"/>
      <c r="E517" s="7"/>
      <c r="F517" s="8"/>
      <c r="H517" s="7"/>
    </row>
    <row r="518" ht="17.25" customHeight="1">
      <c r="C518" s="7"/>
      <c r="D518" s="7"/>
      <c r="E518" s="7"/>
      <c r="F518" s="8"/>
      <c r="H518" s="7"/>
    </row>
    <row r="519" ht="17.25" customHeight="1">
      <c r="C519" s="7"/>
      <c r="D519" s="7"/>
      <c r="E519" s="7"/>
      <c r="F519" s="8"/>
      <c r="H519" s="7"/>
    </row>
    <row r="520" ht="17.25" customHeight="1">
      <c r="C520" s="7"/>
      <c r="D520" s="7"/>
      <c r="E520" s="7"/>
      <c r="F520" s="8"/>
      <c r="H520" s="7"/>
    </row>
    <row r="521" ht="17.25" customHeight="1">
      <c r="C521" s="7"/>
      <c r="D521" s="7"/>
      <c r="E521" s="7"/>
      <c r="F521" s="8"/>
      <c r="H521" s="7"/>
    </row>
    <row r="522" ht="17.25" customHeight="1">
      <c r="C522" s="7"/>
      <c r="D522" s="7"/>
      <c r="E522" s="7"/>
      <c r="F522" s="8"/>
      <c r="H522" s="7"/>
    </row>
    <row r="523" ht="17.25" customHeight="1">
      <c r="C523" s="7"/>
      <c r="D523" s="7"/>
      <c r="E523" s="7"/>
      <c r="F523" s="8"/>
      <c r="H523" s="7"/>
    </row>
    <row r="524" ht="17.25" customHeight="1">
      <c r="C524" s="7"/>
      <c r="D524" s="7"/>
      <c r="E524" s="7"/>
      <c r="F524" s="8"/>
      <c r="H524" s="7"/>
    </row>
    <row r="525" ht="17.25" customHeight="1">
      <c r="C525" s="7"/>
      <c r="D525" s="7"/>
      <c r="E525" s="7"/>
      <c r="F525" s="8"/>
      <c r="H525" s="7"/>
    </row>
    <row r="526" ht="17.25" customHeight="1">
      <c r="C526" s="7"/>
      <c r="D526" s="7"/>
      <c r="E526" s="7"/>
      <c r="F526" s="8"/>
      <c r="H526" s="7"/>
    </row>
    <row r="527" ht="17.25" customHeight="1">
      <c r="C527" s="7"/>
      <c r="D527" s="7"/>
      <c r="E527" s="7"/>
      <c r="F527" s="8"/>
      <c r="H527" s="7"/>
    </row>
    <row r="528" ht="17.25" customHeight="1">
      <c r="C528" s="7"/>
      <c r="D528" s="7"/>
      <c r="E528" s="7"/>
      <c r="F528" s="8"/>
      <c r="H528" s="7"/>
    </row>
    <row r="529" ht="17.25" customHeight="1">
      <c r="C529" s="7"/>
      <c r="D529" s="7"/>
      <c r="E529" s="7"/>
      <c r="F529" s="8"/>
      <c r="H529" s="7"/>
    </row>
    <row r="530" ht="17.25" customHeight="1">
      <c r="C530" s="7"/>
      <c r="D530" s="7"/>
      <c r="E530" s="7"/>
      <c r="F530" s="8"/>
      <c r="H530" s="7"/>
    </row>
    <row r="531" ht="17.25" customHeight="1">
      <c r="C531" s="7"/>
      <c r="D531" s="7"/>
      <c r="E531" s="7"/>
      <c r="F531" s="8"/>
      <c r="H531" s="7"/>
    </row>
    <row r="532" ht="17.25" customHeight="1">
      <c r="C532" s="7"/>
      <c r="D532" s="7"/>
      <c r="E532" s="7"/>
      <c r="F532" s="8"/>
      <c r="H532" s="7"/>
    </row>
    <row r="533" ht="17.25" customHeight="1">
      <c r="C533" s="7"/>
      <c r="D533" s="7"/>
      <c r="E533" s="7"/>
      <c r="F533" s="8"/>
      <c r="H533" s="7"/>
    </row>
    <row r="534" ht="17.25" customHeight="1">
      <c r="C534" s="7"/>
      <c r="D534" s="7"/>
      <c r="E534" s="7"/>
      <c r="F534" s="8"/>
      <c r="H534" s="7"/>
    </row>
    <row r="535" ht="17.25" customHeight="1">
      <c r="C535" s="7"/>
      <c r="D535" s="7"/>
      <c r="E535" s="7"/>
      <c r="F535" s="8"/>
      <c r="H535" s="7"/>
    </row>
    <row r="536" ht="17.25" customHeight="1">
      <c r="C536" s="7"/>
      <c r="D536" s="7"/>
      <c r="E536" s="7"/>
      <c r="F536" s="8"/>
      <c r="H536" s="7"/>
    </row>
    <row r="537" ht="17.25" customHeight="1">
      <c r="C537" s="7"/>
      <c r="D537" s="7"/>
      <c r="E537" s="7"/>
      <c r="F537" s="8"/>
      <c r="H537" s="7"/>
    </row>
    <row r="538" ht="17.25" customHeight="1">
      <c r="C538" s="7"/>
      <c r="D538" s="7"/>
      <c r="E538" s="7"/>
      <c r="F538" s="8"/>
      <c r="H538" s="7"/>
    </row>
    <row r="539" ht="17.25" customHeight="1">
      <c r="C539" s="7"/>
      <c r="D539" s="7"/>
      <c r="E539" s="7"/>
      <c r="F539" s="8"/>
      <c r="H539" s="7"/>
    </row>
    <row r="540" ht="17.25" customHeight="1">
      <c r="C540" s="7"/>
      <c r="D540" s="7"/>
      <c r="E540" s="7"/>
      <c r="F540" s="8"/>
      <c r="H540" s="7"/>
    </row>
    <row r="541" ht="17.25" customHeight="1">
      <c r="C541" s="7"/>
      <c r="D541" s="7"/>
      <c r="E541" s="7"/>
      <c r="F541" s="8"/>
      <c r="H541" s="7"/>
    </row>
    <row r="542" ht="17.25" customHeight="1">
      <c r="C542" s="7"/>
      <c r="D542" s="7"/>
      <c r="E542" s="7"/>
      <c r="F542" s="8"/>
      <c r="H542" s="7"/>
    </row>
    <row r="543" ht="17.25" customHeight="1">
      <c r="C543" s="7"/>
      <c r="D543" s="7"/>
      <c r="E543" s="7"/>
      <c r="F543" s="8"/>
      <c r="H543" s="7"/>
    </row>
    <row r="544" ht="17.25" customHeight="1">
      <c r="C544" s="7"/>
      <c r="D544" s="7"/>
      <c r="E544" s="7"/>
      <c r="F544" s="8"/>
      <c r="H544" s="7"/>
    </row>
    <row r="545" ht="17.25" customHeight="1">
      <c r="C545" s="7"/>
      <c r="D545" s="7"/>
      <c r="E545" s="7"/>
      <c r="F545" s="8"/>
      <c r="H545" s="7"/>
    </row>
    <row r="546" ht="17.25" customHeight="1">
      <c r="C546" s="7"/>
      <c r="D546" s="7"/>
      <c r="E546" s="7"/>
      <c r="F546" s="8"/>
      <c r="H546" s="7"/>
    </row>
    <row r="547" ht="17.25" customHeight="1">
      <c r="C547" s="7"/>
      <c r="D547" s="7"/>
      <c r="E547" s="7"/>
      <c r="F547" s="8"/>
      <c r="H547" s="7"/>
    </row>
    <row r="548" ht="17.25" customHeight="1">
      <c r="C548" s="7"/>
      <c r="D548" s="7"/>
      <c r="E548" s="7"/>
      <c r="F548" s="8"/>
      <c r="H548" s="7"/>
    </row>
    <row r="549" ht="17.25" customHeight="1">
      <c r="C549" s="7"/>
      <c r="D549" s="7"/>
      <c r="E549" s="7"/>
      <c r="F549" s="8"/>
      <c r="H549" s="7"/>
    </row>
    <row r="550" ht="17.25" customHeight="1">
      <c r="C550" s="7"/>
      <c r="D550" s="7"/>
      <c r="E550" s="7"/>
      <c r="F550" s="8"/>
      <c r="H550" s="7"/>
    </row>
    <row r="551" ht="17.25" customHeight="1">
      <c r="C551" s="7"/>
      <c r="D551" s="7"/>
      <c r="E551" s="7"/>
      <c r="F551" s="8"/>
      <c r="H551" s="7"/>
    </row>
    <row r="552" ht="17.25" customHeight="1">
      <c r="C552" s="7"/>
      <c r="D552" s="7"/>
      <c r="E552" s="7"/>
      <c r="F552" s="8"/>
      <c r="H552" s="7"/>
    </row>
    <row r="553" ht="17.25" customHeight="1">
      <c r="C553" s="7"/>
      <c r="D553" s="7"/>
      <c r="E553" s="7"/>
      <c r="F553" s="8"/>
      <c r="H553" s="7"/>
    </row>
    <row r="554" ht="17.25" customHeight="1">
      <c r="C554" s="7"/>
      <c r="D554" s="7"/>
      <c r="E554" s="7"/>
      <c r="F554" s="8"/>
      <c r="H554" s="7"/>
    </row>
    <row r="555" ht="17.25" customHeight="1">
      <c r="C555" s="7"/>
      <c r="D555" s="7"/>
      <c r="E555" s="7"/>
      <c r="F555" s="8"/>
      <c r="H555" s="7"/>
    </row>
    <row r="556" ht="17.25" customHeight="1">
      <c r="C556" s="7"/>
      <c r="D556" s="7"/>
      <c r="E556" s="7"/>
      <c r="F556" s="8"/>
      <c r="H556" s="7"/>
    </row>
    <row r="557" ht="17.25" customHeight="1">
      <c r="C557" s="7"/>
      <c r="D557" s="7"/>
      <c r="E557" s="7"/>
      <c r="F557" s="8"/>
      <c r="H557" s="7"/>
    </row>
    <row r="558" ht="17.25" customHeight="1">
      <c r="C558" s="7"/>
      <c r="D558" s="7"/>
      <c r="E558" s="7"/>
      <c r="F558" s="8"/>
      <c r="H558" s="7"/>
    </row>
    <row r="559" ht="17.25" customHeight="1">
      <c r="C559" s="7"/>
      <c r="D559" s="7"/>
      <c r="E559" s="7"/>
      <c r="F559" s="8"/>
      <c r="H559" s="7"/>
    </row>
    <row r="560" ht="17.25" customHeight="1">
      <c r="C560" s="7"/>
      <c r="D560" s="7"/>
      <c r="E560" s="7"/>
      <c r="F560" s="8"/>
      <c r="H560" s="7"/>
    </row>
    <row r="561" ht="17.25" customHeight="1">
      <c r="C561" s="7"/>
      <c r="D561" s="7"/>
      <c r="E561" s="7"/>
      <c r="F561" s="8"/>
      <c r="H561" s="7"/>
    </row>
    <row r="562" ht="17.25" customHeight="1">
      <c r="C562" s="7"/>
      <c r="D562" s="7"/>
      <c r="E562" s="7"/>
      <c r="F562" s="8"/>
      <c r="H562" s="7"/>
    </row>
    <row r="563" ht="17.25" customHeight="1">
      <c r="C563" s="7"/>
      <c r="D563" s="7"/>
      <c r="E563" s="7"/>
      <c r="F563" s="8"/>
      <c r="H563" s="7"/>
    </row>
    <row r="564" ht="17.25" customHeight="1">
      <c r="C564" s="7"/>
      <c r="D564" s="7"/>
      <c r="E564" s="7"/>
      <c r="F564" s="8"/>
      <c r="H564" s="7"/>
    </row>
    <row r="565" ht="17.25" customHeight="1">
      <c r="C565" s="7"/>
      <c r="D565" s="7"/>
      <c r="E565" s="7"/>
      <c r="F565" s="8"/>
      <c r="H565" s="7"/>
    </row>
    <row r="566" ht="17.25" customHeight="1">
      <c r="C566" s="7"/>
      <c r="D566" s="7"/>
      <c r="E566" s="7"/>
      <c r="F566" s="8"/>
      <c r="H566" s="7"/>
    </row>
    <row r="567" ht="17.25" customHeight="1">
      <c r="C567" s="7"/>
      <c r="D567" s="7"/>
      <c r="E567" s="7"/>
      <c r="F567" s="8"/>
      <c r="H567" s="7"/>
    </row>
    <row r="568" ht="17.25" customHeight="1">
      <c r="C568" s="7"/>
      <c r="D568" s="7"/>
      <c r="E568" s="7"/>
      <c r="F568" s="8"/>
      <c r="H568" s="7"/>
    </row>
    <row r="569" ht="17.25" customHeight="1">
      <c r="C569" s="7"/>
      <c r="D569" s="7"/>
      <c r="E569" s="7"/>
      <c r="F569" s="8"/>
      <c r="H569" s="7"/>
    </row>
    <row r="570" ht="17.25" customHeight="1">
      <c r="C570" s="7"/>
      <c r="D570" s="7"/>
      <c r="E570" s="7"/>
      <c r="F570" s="8"/>
      <c r="H570" s="7"/>
    </row>
    <row r="571" ht="17.25" customHeight="1">
      <c r="C571" s="7"/>
      <c r="D571" s="7"/>
      <c r="E571" s="7"/>
      <c r="F571" s="8"/>
      <c r="H571" s="7"/>
    </row>
    <row r="572" ht="17.25" customHeight="1">
      <c r="C572" s="7"/>
      <c r="D572" s="7"/>
      <c r="E572" s="7"/>
      <c r="F572" s="8"/>
      <c r="H572" s="7"/>
    </row>
    <row r="573" ht="17.25" customHeight="1">
      <c r="C573" s="7"/>
      <c r="D573" s="7"/>
      <c r="E573" s="7"/>
      <c r="F573" s="8"/>
      <c r="H573" s="7"/>
    </row>
    <row r="574" ht="17.25" customHeight="1">
      <c r="C574" s="7"/>
      <c r="D574" s="7"/>
      <c r="E574" s="7"/>
      <c r="F574" s="8"/>
      <c r="H574" s="7"/>
    </row>
    <row r="575" ht="17.25" customHeight="1">
      <c r="C575" s="7"/>
      <c r="D575" s="7"/>
      <c r="E575" s="7"/>
      <c r="F575" s="8"/>
      <c r="H575" s="7"/>
    </row>
    <row r="576" ht="17.25" customHeight="1">
      <c r="C576" s="7"/>
      <c r="D576" s="7"/>
      <c r="E576" s="7"/>
      <c r="F576" s="8"/>
      <c r="H576" s="7"/>
    </row>
    <row r="577" ht="17.25" customHeight="1">
      <c r="C577" s="7"/>
      <c r="D577" s="7"/>
      <c r="E577" s="7"/>
      <c r="F577" s="8"/>
      <c r="H577" s="7"/>
    </row>
    <row r="578" ht="17.25" customHeight="1">
      <c r="C578" s="7"/>
      <c r="D578" s="7"/>
      <c r="E578" s="7"/>
      <c r="F578" s="8"/>
      <c r="H578" s="7"/>
    </row>
    <row r="579" ht="17.25" customHeight="1">
      <c r="C579" s="7"/>
      <c r="D579" s="7"/>
      <c r="E579" s="7"/>
      <c r="F579" s="8"/>
      <c r="H579" s="7"/>
    </row>
    <row r="580" ht="17.25" customHeight="1">
      <c r="C580" s="7"/>
      <c r="D580" s="7"/>
      <c r="E580" s="7"/>
      <c r="F580" s="8"/>
      <c r="H580" s="7"/>
    </row>
    <row r="581" ht="17.25" customHeight="1">
      <c r="C581" s="7"/>
      <c r="D581" s="7"/>
      <c r="E581" s="7"/>
      <c r="F581" s="8"/>
      <c r="H581" s="7"/>
    </row>
    <row r="582" ht="17.25" customHeight="1">
      <c r="C582" s="7"/>
      <c r="D582" s="7"/>
      <c r="E582" s="7"/>
      <c r="F582" s="8"/>
      <c r="H582" s="7"/>
    </row>
    <row r="583" ht="17.25" customHeight="1">
      <c r="C583" s="7"/>
      <c r="D583" s="7"/>
      <c r="E583" s="7"/>
      <c r="F583" s="8"/>
      <c r="H583" s="7"/>
    </row>
    <row r="584" ht="17.25" customHeight="1">
      <c r="C584" s="7"/>
      <c r="D584" s="7"/>
      <c r="E584" s="7"/>
      <c r="F584" s="8"/>
      <c r="H584" s="7"/>
    </row>
    <row r="585" ht="17.25" customHeight="1">
      <c r="C585" s="7"/>
      <c r="D585" s="7"/>
      <c r="E585" s="7"/>
      <c r="F585" s="8"/>
      <c r="H585" s="7"/>
    </row>
    <row r="586" ht="17.25" customHeight="1">
      <c r="C586" s="7"/>
      <c r="D586" s="7"/>
      <c r="E586" s="7"/>
      <c r="F586" s="8"/>
      <c r="H586" s="7"/>
    </row>
    <row r="587" ht="17.25" customHeight="1">
      <c r="C587" s="7"/>
      <c r="D587" s="7"/>
      <c r="E587" s="7"/>
      <c r="F587" s="8"/>
      <c r="H587" s="7"/>
    </row>
    <row r="588" ht="17.25" customHeight="1">
      <c r="C588" s="7"/>
      <c r="D588" s="7"/>
      <c r="E588" s="7"/>
      <c r="F588" s="8"/>
      <c r="H588" s="7"/>
    </row>
    <row r="589" ht="17.25" customHeight="1">
      <c r="C589" s="7"/>
      <c r="D589" s="7"/>
      <c r="E589" s="7"/>
      <c r="F589" s="8"/>
      <c r="H589" s="7"/>
    </row>
    <row r="590" ht="17.25" customHeight="1">
      <c r="C590" s="7"/>
      <c r="D590" s="7"/>
      <c r="E590" s="7"/>
      <c r="F590" s="8"/>
      <c r="H590" s="7"/>
    </row>
    <row r="591" ht="17.25" customHeight="1">
      <c r="C591" s="7"/>
      <c r="D591" s="7"/>
      <c r="E591" s="7"/>
      <c r="F591" s="8"/>
      <c r="H591" s="7"/>
    </row>
    <row r="592" ht="17.25" customHeight="1">
      <c r="C592" s="7"/>
      <c r="D592" s="7"/>
      <c r="E592" s="7"/>
      <c r="F592" s="8"/>
      <c r="H592" s="7"/>
    </row>
    <row r="593" ht="17.25" customHeight="1">
      <c r="C593" s="7"/>
      <c r="D593" s="7"/>
      <c r="E593" s="7"/>
      <c r="F593" s="8"/>
      <c r="H593" s="7"/>
    </row>
    <row r="594" ht="17.25" customHeight="1">
      <c r="C594" s="7"/>
      <c r="D594" s="7"/>
      <c r="E594" s="7"/>
      <c r="F594" s="8"/>
      <c r="H594" s="7"/>
    </row>
    <row r="595" ht="17.25" customHeight="1">
      <c r="C595" s="7"/>
      <c r="D595" s="7"/>
      <c r="E595" s="7"/>
      <c r="F595" s="8"/>
      <c r="H595" s="7"/>
    </row>
    <row r="596" ht="17.25" customHeight="1">
      <c r="C596" s="7"/>
      <c r="D596" s="7"/>
      <c r="E596" s="7"/>
      <c r="F596" s="8"/>
      <c r="H596" s="7"/>
    </row>
    <row r="597" ht="17.25" customHeight="1">
      <c r="C597" s="7"/>
      <c r="D597" s="7"/>
      <c r="E597" s="7"/>
      <c r="F597" s="8"/>
      <c r="H597" s="7"/>
    </row>
    <row r="598" ht="17.25" customHeight="1">
      <c r="C598" s="7"/>
      <c r="D598" s="7"/>
      <c r="E598" s="7"/>
      <c r="F598" s="8"/>
      <c r="H598" s="7"/>
    </row>
    <row r="599" ht="17.25" customHeight="1">
      <c r="C599" s="7"/>
      <c r="D599" s="7"/>
      <c r="E599" s="7"/>
      <c r="F599" s="8"/>
      <c r="H599" s="7"/>
    </row>
    <row r="600" ht="17.25" customHeight="1">
      <c r="C600" s="7"/>
      <c r="D600" s="7"/>
      <c r="E600" s="7"/>
      <c r="F600" s="8"/>
      <c r="H600" s="7"/>
    </row>
    <row r="601" ht="17.25" customHeight="1">
      <c r="C601" s="7"/>
      <c r="D601" s="7"/>
      <c r="E601" s="7"/>
      <c r="F601" s="8"/>
      <c r="H601" s="7"/>
    </row>
    <row r="602" ht="17.25" customHeight="1">
      <c r="C602" s="7"/>
      <c r="D602" s="7"/>
      <c r="E602" s="7"/>
      <c r="F602" s="8"/>
      <c r="H602" s="7"/>
    </row>
    <row r="603" ht="17.25" customHeight="1">
      <c r="C603" s="7"/>
      <c r="D603" s="7"/>
      <c r="E603" s="7"/>
      <c r="F603" s="8"/>
      <c r="H603" s="7"/>
    </row>
    <row r="604" ht="17.25" customHeight="1">
      <c r="C604" s="7"/>
      <c r="D604" s="7"/>
      <c r="E604" s="7"/>
      <c r="F604" s="8"/>
      <c r="H604" s="7"/>
    </row>
    <row r="605" ht="17.25" customHeight="1">
      <c r="C605" s="7"/>
      <c r="D605" s="7"/>
      <c r="E605" s="7"/>
      <c r="F605" s="8"/>
      <c r="H605" s="7"/>
    </row>
    <row r="606" ht="17.25" customHeight="1">
      <c r="C606" s="7"/>
      <c r="D606" s="7"/>
      <c r="E606" s="7"/>
      <c r="F606" s="8"/>
      <c r="H606" s="7"/>
    </row>
    <row r="607" ht="17.25" customHeight="1">
      <c r="C607" s="7"/>
      <c r="D607" s="7"/>
      <c r="E607" s="7"/>
      <c r="F607" s="8"/>
      <c r="H607" s="7"/>
    </row>
    <row r="608" ht="17.25" customHeight="1">
      <c r="C608" s="7"/>
      <c r="D608" s="7"/>
      <c r="E608" s="7"/>
      <c r="F608" s="8"/>
      <c r="H608" s="7"/>
    </row>
    <row r="609" ht="17.25" customHeight="1">
      <c r="C609" s="7"/>
      <c r="D609" s="7"/>
      <c r="E609" s="7"/>
      <c r="F609" s="8"/>
      <c r="H609" s="7"/>
    </row>
    <row r="610" ht="17.25" customHeight="1">
      <c r="C610" s="7"/>
      <c r="D610" s="7"/>
      <c r="E610" s="7"/>
      <c r="F610" s="8"/>
      <c r="H610" s="7"/>
    </row>
    <row r="611" ht="17.25" customHeight="1">
      <c r="C611" s="7"/>
      <c r="D611" s="7"/>
      <c r="E611" s="7"/>
      <c r="F611" s="8"/>
      <c r="H611" s="7"/>
    </row>
    <row r="612" ht="17.25" customHeight="1">
      <c r="C612" s="7"/>
      <c r="D612" s="7"/>
      <c r="E612" s="7"/>
      <c r="F612" s="8"/>
      <c r="H612" s="7"/>
    </row>
    <row r="613" ht="17.25" customHeight="1">
      <c r="C613" s="7"/>
      <c r="D613" s="7"/>
      <c r="E613" s="7"/>
      <c r="F613" s="8"/>
      <c r="H613" s="7"/>
    </row>
    <row r="614" ht="17.25" customHeight="1">
      <c r="C614" s="7"/>
      <c r="D614" s="7"/>
      <c r="E614" s="7"/>
      <c r="F614" s="8"/>
      <c r="H614" s="7"/>
    </row>
    <row r="615" ht="17.25" customHeight="1">
      <c r="C615" s="7"/>
      <c r="D615" s="7"/>
      <c r="E615" s="7"/>
      <c r="F615" s="8"/>
      <c r="H615" s="7"/>
    </row>
    <row r="616" ht="17.25" customHeight="1">
      <c r="C616" s="7"/>
      <c r="D616" s="7"/>
      <c r="E616" s="7"/>
      <c r="F616" s="8"/>
      <c r="H616" s="7"/>
    </row>
    <row r="617" ht="17.25" customHeight="1">
      <c r="C617" s="7"/>
      <c r="D617" s="7"/>
      <c r="E617" s="7"/>
      <c r="F617" s="8"/>
      <c r="H617" s="7"/>
    </row>
    <row r="618" ht="17.25" customHeight="1">
      <c r="C618" s="7"/>
      <c r="D618" s="7"/>
      <c r="E618" s="7"/>
      <c r="F618" s="8"/>
      <c r="H618" s="7"/>
    </row>
    <row r="619" ht="17.25" customHeight="1">
      <c r="C619" s="7"/>
      <c r="D619" s="7"/>
      <c r="E619" s="7"/>
      <c r="F619" s="8"/>
      <c r="H619" s="7"/>
    </row>
    <row r="620" ht="17.25" customHeight="1">
      <c r="C620" s="7"/>
      <c r="D620" s="7"/>
      <c r="E620" s="7"/>
      <c r="F620" s="8"/>
      <c r="H620" s="7"/>
    </row>
    <row r="621" ht="17.25" customHeight="1">
      <c r="C621" s="7"/>
      <c r="D621" s="7"/>
      <c r="E621" s="7"/>
      <c r="F621" s="8"/>
      <c r="H621" s="7"/>
    </row>
    <row r="622" ht="17.25" customHeight="1">
      <c r="C622" s="7"/>
      <c r="D622" s="7"/>
      <c r="E622" s="7"/>
      <c r="F622" s="8"/>
      <c r="H622" s="7"/>
    </row>
    <row r="623" ht="17.25" customHeight="1">
      <c r="C623" s="7"/>
      <c r="D623" s="7"/>
      <c r="E623" s="7"/>
      <c r="F623" s="8"/>
      <c r="H623" s="7"/>
    </row>
    <row r="624" ht="17.25" customHeight="1">
      <c r="C624" s="7"/>
      <c r="D624" s="7"/>
      <c r="E624" s="7"/>
      <c r="F624" s="8"/>
      <c r="H624" s="7"/>
    </row>
    <row r="625" ht="17.25" customHeight="1">
      <c r="C625" s="7"/>
      <c r="D625" s="7"/>
      <c r="E625" s="7"/>
      <c r="F625" s="8"/>
      <c r="H625" s="7"/>
    </row>
    <row r="626" ht="17.25" customHeight="1">
      <c r="C626" s="7"/>
      <c r="D626" s="7"/>
      <c r="E626" s="7"/>
      <c r="F626" s="8"/>
      <c r="H626" s="7"/>
    </row>
    <row r="627" ht="17.25" customHeight="1">
      <c r="C627" s="7"/>
      <c r="D627" s="7"/>
      <c r="E627" s="7"/>
      <c r="F627" s="8"/>
      <c r="H627" s="7"/>
    </row>
    <row r="628" ht="17.25" customHeight="1">
      <c r="C628" s="7"/>
      <c r="D628" s="7"/>
      <c r="E628" s="7"/>
      <c r="F628" s="8"/>
      <c r="H628" s="7"/>
    </row>
    <row r="629" ht="17.25" customHeight="1">
      <c r="C629" s="7"/>
      <c r="D629" s="7"/>
      <c r="E629" s="7"/>
      <c r="F629" s="8"/>
      <c r="H629" s="7"/>
    </row>
    <row r="630" ht="17.25" customHeight="1">
      <c r="C630" s="7"/>
      <c r="D630" s="7"/>
      <c r="E630" s="7"/>
      <c r="F630" s="8"/>
      <c r="H630" s="7"/>
    </row>
    <row r="631" ht="17.25" customHeight="1">
      <c r="C631" s="7"/>
      <c r="D631" s="7"/>
      <c r="E631" s="7"/>
      <c r="F631" s="8"/>
      <c r="H631" s="7"/>
    </row>
    <row r="632" ht="17.25" customHeight="1">
      <c r="C632" s="7"/>
      <c r="D632" s="7"/>
      <c r="E632" s="7"/>
      <c r="F632" s="8"/>
      <c r="H632" s="7"/>
    </row>
    <row r="633" ht="17.25" customHeight="1">
      <c r="C633" s="7"/>
      <c r="D633" s="7"/>
      <c r="E633" s="7"/>
      <c r="F633" s="8"/>
      <c r="H633" s="7"/>
    </row>
    <row r="634" ht="17.25" customHeight="1">
      <c r="C634" s="7"/>
      <c r="D634" s="7"/>
      <c r="E634" s="7"/>
      <c r="F634" s="8"/>
      <c r="H634" s="7"/>
    </row>
    <row r="635" ht="17.25" customHeight="1">
      <c r="C635" s="7"/>
      <c r="D635" s="7"/>
      <c r="E635" s="7"/>
      <c r="F635" s="8"/>
      <c r="H635" s="7"/>
    </row>
    <row r="636" ht="17.25" customHeight="1">
      <c r="C636" s="7"/>
      <c r="D636" s="7"/>
      <c r="E636" s="7"/>
      <c r="F636" s="8"/>
      <c r="H636" s="7"/>
    </row>
    <row r="637" ht="17.25" customHeight="1">
      <c r="C637" s="7"/>
      <c r="D637" s="7"/>
      <c r="E637" s="7"/>
      <c r="F637" s="8"/>
      <c r="H637" s="7"/>
    </row>
    <row r="638" ht="17.25" customHeight="1">
      <c r="C638" s="7"/>
      <c r="D638" s="7"/>
      <c r="E638" s="7"/>
      <c r="F638" s="8"/>
      <c r="H638" s="7"/>
    </row>
    <row r="639" ht="17.25" customHeight="1">
      <c r="C639" s="7"/>
      <c r="D639" s="7"/>
      <c r="E639" s="7"/>
      <c r="F639" s="8"/>
      <c r="H639" s="7"/>
    </row>
    <row r="640" ht="17.25" customHeight="1">
      <c r="C640" s="7"/>
      <c r="D640" s="7"/>
      <c r="E640" s="7"/>
      <c r="F640" s="8"/>
      <c r="H640" s="7"/>
    </row>
    <row r="641" ht="17.25" customHeight="1">
      <c r="C641" s="7"/>
      <c r="D641" s="7"/>
      <c r="E641" s="7"/>
      <c r="F641" s="8"/>
      <c r="H641" s="7"/>
    </row>
    <row r="642" ht="17.25" customHeight="1">
      <c r="C642" s="7"/>
      <c r="D642" s="7"/>
      <c r="E642" s="7"/>
      <c r="F642" s="8"/>
      <c r="H642" s="7"/>
    </row>
    <row r="643" ht="17.25" customHeight="1">
      <c r="C643" s="7"/>
      <c r="D643" s="7"/>
      <c r="E643" s="7"/>
      <c r="F643" s="8"/>
      <c r="H643" s="7"/>
    </row>
    <row r="644" ht="17.25" customHeight="1">
      <c r="C644" s="7"/>
      <c r="D644" s="7"/>
      <c r="E644" s="7"/>
      <c r="F644" s="8"/>
      <c r="H644" s="7"/>
    </row>
    <row r="645" ht="17.25" customHeight="1">
      <c r="C645" s="7"/>
      <c r="D645" s="7"/>
      <c r="E645" s="7"/>
      <c r="F645" s="8"/>
      <c r="H645" s="7"/>
    </row>
    <row r="646" ht="17.25" customHeight="1">
      <c r="C646" s="7"/>
      <c r="D646" s="7"/>
      <c r="E646" s="7"/>
      <c r="F646" s="8"/>
      <c r="H646" s="7"/>
    </row>
    <row r="647" ht="17.25" customHeight="1">
      <c r="C647" s="7"/>
      <c r="D647" s="7"/>
      <c r="E647" s="7"/>
      <c r="F647" s="8"/>
      <c r="H647" s="7"/>
    </row>
    <row r="648" ht="17.25" customHeight="1">
      <c r="C648" s="7"/>
      <c r="D648" s="7"/>
      <c r="E648" s="7"/>
      <c r="F648" s="8"/>
      <c r="H648" s="7"/>
    </row>
    <row r="649" ht="17.25" customHeight="1">
      <c r="C649" s="7"/>
      <c r="D649" s="7"/>
      <c r="E649" s="7"/>
      <c r="F649" s="8"/>
      <c r="H649" s="7"/>
    </row>
    <row r="650" ht="17.25" customHeight="1">
      <c r="C650" s="7"/>
      <c r="D650" s="7"/>
      <c r="E650" s="7"/>
      <c r="F650" s="8"/>
      <c r="H650" s="7"/>
    </row>
    <row r="651" ht="17.25" customHeight="1">
      <c r="C651" s="7"/>
      <c r="D651" s="7"/>
      <c r="E651" s="7"/>
      <c r="F651" s="8"/>
      <c r="H651" s="7"/>
    </row>
    <row r="652" ht="17.25" customHeight="1">
      <c r="C652" s="7"/>
      <c r="D652" s="7"/>
      <c r="E652" s="7"/>
      <c r="F652" s="8"/>
      <c r="H652" s="7"/>
    </row>
    <row r="653" ht="17.25" customHeight="1">
      <c r="C653" s="7"/>
      <c r="D653" s="7"/>
      <c r="E653" s="7"/>
      <c r="F653" s="8"/>
      <c r="H653" s="7"/>
    </row>
    <row r="654" ht="17.25" customHeight="1">
      <c r="C654" s="7"/>
      <c r="D654" s="7"/>
      <c r="E654" s="7"/>
      <c r="F654" s="8"/>
      <c r="H654" s="7"/>
    </row>
    <row r="655" ht="17.25" customHeight="1">
      <c r="C655" s="7"/>
      <c r="D655" s="7"/>
      <c r="E655" s="7"/>
      <c r="F655" s="8"/>
      <c r="H655" s="7"/>
    </row>
    <row r="656" ht="17.25" customHeight="1">
      <c r="C656" s="7"/>
      <c r="D656" s="7"/>
      <c r="E656" s="7"/>
      <c r="F656" s="8"/>
      <c r="H656" s="7"/>
    </row>
    <row r="657" ht="17.25" customHeight="1">
      <c r="C657" s="7"/>
      <c r="D657" s="7"/>
      <c r="E657" s="7"/>
      <c r="F657" s="8"/>
      <c r="H657" s="7"/>
    </row>
    <row r="658" ht="17.25" customHeight="1">
      <c r="C658" s="7"/>
      <c r="D658" s="7"/>
      <c r="E658" s="7"/>
      <c r="F658" s="8"/>
      <c r="H658" s="7"/>
    </row>
    <row r="659" ht="17.25" customHeight="1">
      <c r="C659" s="7"/>
      <c r="D659" s="7"/>
      <c r="E659" s="7"/>
      <c r="F659" s="8"/>
      <c r="H659" s="7"/>
    </row>
    <row r="660" ht="17.25" customHeight="1">
      <c r="C660" s="7"/>
      <c r="D660" s="7"/>
      <c r="E660" s="7"/>
      <c r="F660" s="8"/>
      <c r="H660" s="7"/>
    </row>
    <row r="661" ht="17.25" customHeight="1">
      <c r="C661" s="7"/>
      <c r="D661" s="7"/>
      <c r="E661" s="7"/>
      <c r="F661" s="8"/>
      <c r="H661" s="7"/>
    </row>
    <row r="662" ht="17.25" customHeight="1">
      <c r="C662" s="7"/>
      <c r="D662" s="7"/>
      <c r="E662" s="7"/>
      <c r="F662" s="8"/>
      <c r="H662" s="7"/>
    </row>
    <row r="663" ht="17.25" customHeight="1">
      <c r="C663" s="7"/>
      <c r="D663" s="7"/>
      <c r="E663" s="7"/>
      <c r="F663" s="8"/>
      <c r="H663" s="7"/>
    </row>
    <row r="664" ht="17.25" customHeight="1">
      <c r="C664" s="7"/>
      <c r="D664" s="7"/>
      <c r="E664" s="7"/>
      <c r="F664" s="8"/>
      <c r="H664" s="7"/>
    </row>
    <row r="665" ht="17.25" customHeight="1">
      <c r="C665" s="7"/>
      <c r="D665" s="7"/>
      <c r="E665" s="7"/>
      <c r="F665" s="8"/>
      <c r="H665" s="7"/>
    </row>
    <row r="666" ht="17.25" customHeight="1">
      <c r="C666" s="7"/>
      <c r="D666" s="7"/>
      <c r="E666" s="7"/>
      <c r="F666" s="8"/>
      <c r="H666" s="7"/>
    </row>
    <row r="667" ht="17.25" customHeight="1">
      <c r="C667" s="7"/>
      <c r="D667" s="7"/>
      <c r="E667" s="7"/>
      <c r="F667" s="8"/>
      <c r="H667" s="7"/>
    </row>
    <row r="668" ht="17.25" customHeight="1">
      <c r="C668" s="7"/>
      <c r="D668" s="7"/>
      <c r="E668" s="7"/>
      <c r="F668" s="8"/>
      <c r="H668" s="7"/>
    </row>
    <row r="669" ht="17.25" customHeight="1">
      <c r="C669" s="7"/>
      <c r="D669" s="7"/>
      <c r="E669" s="7"/>
      <c r="F669" s="8"/>
      <c r="H669" s="7"/>
    </row>
    <row r="670" ht="17.25" customHeight="1">
      <c r="C670" s="7"/>
      <c r="D670" s="7"/>
      <c r="E670" s="7"/>
      <c r="F670" s="8"/>
      <c r="H670" s="7"/>
    </row>
    <row r="671" ht="17.25" customHeight="1">
      <c r="C671" s="7"/>
      <c r="D671" s="7"/>
      <c r="E671" s="7"/>
      <c r="F671" s="8"/>
      <c r="H671" s="7"/>
    </row>
    <row r="672" ht="17.25" customHeight="1">
      <c r="C672" s="7"/>
      <c r="D672" s="7"/>
      <c r="E672" s="7"/>
      <c r="F672" s="8"/>
      <c r="H672" s="7"/>
    </row>
    <row r="673" ht="17.25" customHeight="1">
      <c r="C673" s="7"/>
      <c r="D673" s="7"/>
      <c r="E673" s="7"/>
      <c r="F673" s="8"/>
      <c r="H673" s="7"/>
    </row>
    <row r="674" ht="17.25" customHeight="1">
      <c r="C674" s="7"/>
      <c r="D674" s="7"/>
      <c r="E674" s="7"/>
      <c r="F674" s="8"/>
      <c r="H674" s="7"/>
    </row>
    <row r="675" ht="17.25" customHeight="1">
      <c r="C675" s="7"/>
      <c r="D675" s="7"/>
      <c r="E675" s="7"/>
      <c r="F675" s="8"/>
      <c r="H675" s="7"/>
    </row>
    <row r="676" ht="17.25" customHeight="1">
      <c r="C676" s="7"/>
      <c r="D676" s="7"/>
      <c r="E676" s="7"/>
      <c r="F676" s="8"/>
      <c r="H676" s="7"/>
    </row>
    <row r="677" ht="17.25" customHeight="1">
      <c r="C677" s="7"/>
      <c r="D677" s="7"/>
      <c r="E677" s="7"/>
      <c r="F677" s="8"/>
      <c r="H677" s="7"/>
    </row>
    <row r="678" ht="17.25" customHeight="1">
      <c r="C678" s="7"/>
      <c r="D678" s="7"/>
      <c r="E678" s="7"/>
      <c r="F678" s="8"/>
      <c r="H678" s="7"/>
    </row>
    <row r="679" ht="17.25" customHeight="1">
      <c r="C679" s="7"/>
      <c r="D679" s="7"/>
      <c r="E679" s="7"/>
      <c r="F679" s="8"/>
      <c r="H679" s="7"/>
    </row>
    <row r="680" ht="17.25" customHeight="1">
      <c r="C680" s="7"/>
      <c r="D680" s="7"/>
      <c r="E680" s="7"/>
      <c r="F680" s="8"/>
      <c r="H680" s="7"/>
    </row>
    <row r="681" ht="17.25" customHeight="1">
      <c r="C681" s="7"/>
      <c r="D681" s="7"/>
      <c r="E681" s="7"/>
      <c r="F681" s="8"/>
      <c r="H681" s="7"/>
    </row>
    <row r="682" ht="17.25" customHeight="1">
      <c r="C682" s="7"/>
      <c r="D682" s="7"/>
      <c r="E682" s="7"/>
      <c r="F682" s="8"/>
      <c r="H682" s="7"/>
    </row>
    <row r="683" ht="17.25" customHeight="1">
      <c r="C683" s="7"/>
      <c r="D683" s="7"/>
      <c r="E683" s="7"/>
      <c r="F683" s="8"/>
      <c r="H683" s="7"/>
    </row>
    <row r="684" ht="17.25" customHeight="1">
      <c r="C684" s="7"/>
      <c r="D684" s="7"/>
      <c r="E684" s="7"/>
      <c r="F684" s="8"/>
      <c r="H684" s="7"/>
    </row>
    <row r="685" ht="17.25" customHeight="1">
      <c r="C685" s="7"/>
      <c r="D685" s="7"/>
      <c r="E685" s="7"/>
      <c r="F685" s="8"/>
      <c r="H685" s="7"/>
    </row>
    <row r="686" ht="17.25" customHeight="1">
      <c r="C686" s="7"/>
      <c r="D686" s="7"/>
      <c r="E686" s="7"/>
      <c r="F686" s="8"/>
      <c r="H686" s="7"/>
    </row>
    <row r="687" ht="17.25" customHeight="1">
      <c r="C687" s="7"/>
      <c r="D687" s="7"/>
      <c r="E687" s="7"/>
      <c r="F687" s="8"/>
      <c r="H687" s="7"/>
    </row>
    <row r="688" ht="17.25" customHeight="1">
      <c r="C688" s="7"/>
      <c r="D688" s="7"/>
      <c r="E688" s="7"/>
      <c r="F688" s="8"/>
      <c r="H688" s="7"/>
    </row>
    <row r="689" ht="17.25" customHeight="1">
      <c r="C689" s="7"/>
      <c r="D689" s="7"/>
      <c r="E689" s="7"/>
      <c r="F689" s="8"/>
      <c r="H689" s="7"/>
    </row>
    <row r="690" ht="17.25" customHeight="1">
      <c r="C690" s="7"/>
      <c r="D690" s="7"/>
      <c r="E690" s="7"/>
      <c r="F690" s="8"/>
      <c r="H690" s="7"/>
    </row>
    <row r="691" ht="17.25" customHeight="1">
      <c r="C691" s="7"/>
      <c r="D691" s="7"/>
      <c r="E691" s="7"/>
      <c r="F691" s="8"/>
      <c r="H691" s="7"/>
    </row>
    <row r="692" ht="17.25" customHeight="1">
      <c r="C692" s="7"/>
      <c r="D692" s="7"/>
      <c r="E692" s="7"/>
      <c r="F692" s="8"/>
      <c r="H692" s="7"/>
    </row>
    <row r="693" ht="17.25" customHeight="1">
      <c r="C693" s="7"/>
      <c r="D693" s="7"/>
      <c r="E693" s="7"/>
      <c r="F693" s="8"/>
      <c r="H693" s="7"/>
    </row>
    <row r="694" ht="17.25" customHeight="1">
      <c r="C694" s="7"/>
      <c r="D694" s="7"/>
      <c r="E694" s="7"/>
      <c r="F694" s="8"/>
      <c r="H694" s="7"/>
    </row>
    <row r="695" ht="17.25" customHeight="1">
      <c r="C695" s="7"/>
      <c r="D695" s="7"/>
      <c r="E695" s="7"/>
      <c r="F695" s="8"/>
      <c r="H695" s="7"/>
    </row>
    <row r="696" ht="17.25" customHeight="1">
      <c r="C696" s="7"/>
      <c r="D696" s="7"/>
      <c r="E696" s="7"/>
      <c r="F696" s="8"/>
      <c r="H696" s="7"/>
    </row>
    <row r="697" ht="17.25" customHeight="1">
      <c r="C697" s="7"/>
      <c r="D697" s="7"/>
      <c r="E697" s="7"/>
      <c r="F697" s="8"/>
      <c r="H697" s="7"/>
    </row>
    <row r="698" ht="17.25" customHeight="1">
      <c r="C698" s="7"/>
      <c r="D698" s="7"/>
      <c r="E698" s="7"/>
      <c r="F698" s="8"/>
      <c r="H698" s="7"/>
    </row>
    <row r="699" ht="17.25" customHeight="1">
      <c r="C699" s="7"/>
      <c r="D699" s="7"/>
      <c r="E699" s="7"/>
      <c r="F699" s="8"/>
      <c r="H699" s="7"/>
    </row>
    <row r="700" ht="17.25" customHeight="1">
      <c r="C700" s="7"/>
      <c r="D700" s="7"/>
      <c r="E700" s="7"/>
      <c r="F700" s="8"/>
      <c r="H700" s="7"/>
    </row>
    <row r="701" ht="17.25" customHeight="1">
      <c r="C701" s="7"/>
      <c r="D701" s="7"/>
      <c r="E701" s="7"/>
      <c r="F701" s="8"/>
      <c r="H701" s="7"/>
    </row>
    <row r="702" ht="17.25" customHeight="1">
      <c r="C702" s="7"/>
      <c r="D702" s="7"/>
      <c r="E702" s="7"/>
      <c r="F702" s="8"/>
      <c r="H702" s="7"/>
    </row>
    <row r="703" ht="17.25" customHeight="1">
      <c r="C703" s="7"/>
      <c r="D703" s="7"/>
      <c r="E703" s="7"/>
      <c r="F703" s="8"/>
      <c r="H703" s="7"/>
    </row>
    <row r="704" ht="17.25" customHeight="1">
      <c r="C704" s="7"/>
      <c r="D704" s="7"/>
      <c r="E704" s="7"/>
      <c r="F704" s="8"/>
      <c r="H704" s="7"/>
    </row>
    <row r="705" ht="17.25" customHeight="1">
      <c r="C705" s="7"/>
      <c r="D705" s="7"/>
      <c r="E705" s="7"/>
      <c r="F705" s="8"/>
      <c r="H705" s="7"/>
    </row>
    <row r="706" ht="17.25" customHeight="1">
      <c r="C706" s="7"/>
      <c r="D706" s="7"/>
      <c r="E706" s="7"/>
      <c r="F706" s="8"/>
      <c r="H706" s="7"/>
    </row>
    <row r="707" ht="17.25" customHeight="1">
      <c r="C707" s="7"/>
      <c r="D707" s="7"/>
      <c r="E707" s="7"/>
      <c r="F707" s="8"/>
      <c r="H707" s="7"/>
    </row>
    <row r="708" ht="17.25" customHeight="1">
      <c r="C708" s="7"/>
      <c r="D708" s="7"/>
      <c r="E708" s="7"/>
      <c r="F708" s="8"/>
      <c r="H708" s="7"/>
    </row>
    <row r="709" ht="17.25" customHeight="1">
      <c r="C709" s="7"/>
      <c r="D709" s="7"/>
      <c r="E709" s="7"/>
      <c r="F709" s="8"/>
      <c r="H709" s="7"/>
    </row>
    <row r="710" ht="17.25" customHeight="1">
      <c r="C710" s="7"/>
      <c r="D710" s="7"/>
      <c r="E710" s="7"/>
      <c r="F710" s="8"/>
      <c r="H710" s="7"/>
    </row>
    <row r="711" ht="17.25" customHeight="1">
      <c r="C711" s="7"/>
      <c r="D711" s="7"/>
      <c r="E711" s="7"/>
      <c r="F711" s="8"/>
      <c r="H711" s="7"/>
    </row>
    <row r="712" ht="17.25" customHeight="1">
      <c r="C712" s="7"/>
      <c r="D712" s="7"/>
      <c r="E712" s="7"/>
      <c r="F712" s="8"/>
      <c r="H712" s="7"/>
    </row>
    <row r="713" ht="17.25" customHeight="1">
      <c r="C713" s="7"/>
      <c r="D713" s="7"/>
      <c r="E713" s="7"/>
      <c r="F713" s="8"/>
      <c r="H713" s="7"/>
    </row>
    <row r="714" ht="17.25" customHeight="1">
      <c r="C714" s="7"/>
      <c r="D714" s="7"/>
      <c r="E714" s="7"/>
      <c r="F714" s="8"/>
      <c r="H714" s="7"/>
    </row>
    <row r="715" ht="17.25" customHeight="1">
      <c r="C715" s="7"/>
      <c r="D715" s="7"/>
      <c r="E715" s="7"/>
      <c r="F715" s="8"/>
      <c r="H715" s="7"/>
    </row>
    <row r="716" ht="17.25" customHeight="1">
      <c r="C716" s="7"/>
      <c r="D716" s="7"/>
      <c r="E716" s="7"/>
      <c r="F716" s="8"/>
      <c r="H716" s="7"/>
    </row>
    <row r="717" ht="17.25" customHeight="1">
      <c r="C717" s="7"/>
      <c r="D717" s="7"/>
      <c r="E717" s="7"/>
      <c r="F717" s="8"/>
      <c r="H717" s="7"/>
    </row>
    <row r="718" ht="17.25" customHeight="1">
      <c r="C718" s="7"/>
      <c r="D718" s="7"/>
      <c r="E718" s="7"/>
      <c r="F718" s="8"/>
      <c r="H718" s="7"/>
    </row>
    <row r="719" ht="17.25" customHeight="1">
      <c r="C719" s="7"/>
      <c r="D719" s="7"/>
      <c r="E719" s="7"/>
      <c r="F719" s="8"/>
      <c r="H719" s="7"/>
    </row>
    <row r="720" ht="17.25" customHeight="1">
      <c r="C720" s="7"/>
      <c r="D720" s="7"/>
      <c r="E720" s="7"/>
      <c r="F720" s="8"/>
      <c r="H720" s="7"/>
    </row>
    <row r="721" ht="17.25" customHeight="1">
      <c r="C721" s="7"/>
      <c r="D721" s="7"/>
      <c r="E721" s="7"/>
      <c r="F721" s="8"/>
      <c r="H721" s="7"/>
    </row>
    <row r="722" ht="17.25" customHeight="1">
      <c r="C722" s="7"/>
      <c r="D722" s="7"/>
      <c r="E722" s="7"/>
      <c r="F722" s="8"/>
      <c r="H722" s="7"/>
    </row>
    <row r="723" ht="17.25" customHeight="1">
      <c r="C723" s="7"/>
      <c r="D723" s="7"/>
      <c r="E723" s="7"/>
      <c r="F723" s="8"/>
      <c r="H723" s="7"/>
    </row>
    <row r="724" ht="17.25" customHeight="1">
      <c r="C724" s="7"/>
      <c r="D724" s="7"/>
      <c r="E724" s="7"/>
      <c r="F724" s="8"/>
      <c r="H724" s="7"/>
    </row>
    <row r="725" ht="17.25" customHeight="1">
      <c r="C725" s="7"/>
      <c r="D725" s="7"/>
      <c r="E725" s="7"/>
      <c r="F725" s="8"/>
      <c r="H725" s="7"/>
    </row>
    <row r="726" ht="17.25" customHeight="1">
      <c r="C726" s="7"/>
      <c r="D726" s="7"/>
      <c r="E726" s="7"/>
      <c r="F726" s="8"/>
      <c r="H726" s="7"/>
    </row>
    <row r="727" ht="17.25" customHeight="1">
      <c r="C727" s="7"/>
      <c r="D727" s="7"/>
      <c r="E727" s="7"/>
      <c r="F727" s="8"/>
      <c r="H727" s="7"/>
    </row>
    <row r="728" ht="17.25" customHeight="1">
      <c r="C728" s="7"/>
      <c r="D728" s="7"/>
      <c r="E728" s="7"/>
      <c r="F728" s="8"/>
      <c r="H728" s="7"/>
    </row>
    <row r="729" ht="17.25" customHeight="1">
      <c r="C729" s="7"/>
      <c r="D729" s="7"/>
      <c r="E729" s="7"/>
      <c r="F729" s="8"/>
      <c r="H729" s="7"/>
    </row>
    <row r="730" ht="17.25" customHeight="1">
      <c r="C730" s="7"/>
      <c r="D730" s="7"/>
      <c r="E730" s="7"/>
      <c r="F730" s="8"/>
      <c r="H730" s="7"/>
    </row>
    <row r="731" ht="17.25" customHeight="1">
      <c r="C731" s="7"/>
      <c r="D731" s="7"/>
      <c r="E731" s="7"/>
      <c r="F731" s="8"/>
      <c r="H731" s="7"/>
    </row>
    <row r="732" ht="17.25" customHeight="1">
      <c r="C732" s="7"/>
      <c r="D732" s="7"/>
      <c r="E732" s="7"/>
      <c r="F732" s="8"/>
      <c r="H732" s="7"/>
    </row>
    <row r="733" ht="17.25" customHeight="1">
      <c r="C733" s="7"/>
      <c r="D733" s="7"/>
      <c r="E733" s="7"/>
      <c r="F733" s="8"/>
      <c r="H733" s="7"/>
    </row>
    <row r="734" ht="17.25" customHeight="1">
      <c r="C734" s="7"/>
      <c r="D734" s="7"/>
      <c r="E734" s="7"/>
      <c r="F734" s="8"/>
      <c r="H734" s="7"/>
    </row>
    <row r="735" ht="17.25" customHeight="1">
      <c r="C735" s="7"/>
      <c r="D735" s="7"/>
      <c r="E735" s="7"/>
      <c r="F735" s="8"/>
      <c r="H735" s="7"/>
    </row>
    <row r="736" ht="17.25" customHeight="1">
      <c r="C736" s="7"/>
      <c r="D736" s="7"/>
      <c r="E736" s="7"/>
      <c r="F736" s="8"/>
      <c r="H736" s="7"/>
    </row>
    <row r="737" ht="17.25" customHeight="1">
      <c r="C737" s="7"/>
      <c r="D737" s="7"/>
      <c r="E737" s="7"/>
      <c r="F737" s="8"/>
      <c r="H737" s="7"/>
    </row>
    <row r="738" ht="17.25" customHeight="1">
      <c r="C738" s="7"/>
      <c r="D738" s="7"/>
      <c r="E738" s="7"/>
      <c r="F738" s="8"/>
      <c r="H738" s="7"/>
    </row>
    <row r="739" ht="17.25" customHeight="1">
      <c r="C739" s="7"/>
      <c r="D739" s="7"/>
      <c r="E739" s="7"/>
      <c r="F739" s="8"/>
      <c r="H739" s="7"/>
    </row>
    <row r="740" ht="17.25" customHeight="1">
      <c r="C740" s="7"/>
      <c r="D740" s="7"/>
      <c r="E740" s="7"/>
      <c r="F740" s="8"/>
      <c r="H740" s="7"/>
    </row>
    <row r="741" ht="17.25" customHeight="1">
      <c r="C741" s="7"/>
      <c r="D741" s="7"/>
      <c r="E741" s="7"/>
      <c r="F741" s="8"/>
      <c r="H741" s="7"/>
    </row>
    <row r="742" ht="17.25" customHeight="1">
      <c r="C742" s="7"/>
      <c r="D742" s="7"/>
      <c r="E742" s="7"/>
      <c r="F742" s="8"/>
      <c r="H742" s="7"/>
    </row>
    <row r="743" ht="17.25" customHeight="1">
      <c r="C743" s="7"/>
      <c r="D743" s="7"/>
      <c r="E743" s="7"/>
      <c r="F743" s="8"/>
      <c r="H743" s="7"/>
    </row>
    <row r="744" ht="17.25" customHeight="1">
      <c r="C744" s="7"/>
      <c r="D744" s="7"/>
      <c r="E744" s="7"/>
      <c r="F744" s="8"/>
      <c r="H744" s="7"/>
    </row>
    <row r="745" ht="17.25" customHeight="1">
      <c r="C745" s="7"/>
      <c r="D745" s="7"/>
      <c r="E745" s="7"/>
      <c r="F745" s="8"/>
      <c r="H745" s="7"/>
    </row>
    <row r="746" ht="17.25" customHeight="1">
      <c r="C746" s="7"/>
      <c r="D746" s="7"/>
      <c r="E746" s="7"/>
      <c r="F746" s="8"/>
      <c r="H746" s="7"/>
    </row>
    <row r="747" ht="17.25" customHeight="1">
      <c r="C747" s="7"/>
      <c r="D747" s="7"/>
      <c r="E747" s="7"/>
      <c r="F747" s="8"/>
      <c r="H747" s="7"/>
    </row>
    <row r="748" ht="17.25" customHeight="1">
      <c r="C748" s="7"/>
      <c r="D748" s="7"/>
      <c r="E748" s="7"/>
      <c r="F748" s="8"/>
      <c r="H748" s="7"/>
    </row>
    <row r="749" ht="17.25" customHeight="1">
      <c r="C749" s="7"/>
      <c r="D749" s="7"/>
      <c r="E749" s="7"/>
      <c r="F749" s="8"/>
      <c r="H749" s="7"/>
    </row>
    <row r="750" ht="17.25" customHeight="1">
      <c r="C750" s="7"/>
      <c r="D750" s="7"/>
      <c r="E750" s="7"/>
      <c r="F750" s="8"/>
      <c r="H750" s="7"/>
    </row>
    <row r="751" ht="17.25" customHeight="1">
      <c r="C751" s="7"/>
      <c r="D751" s="7"/>
      <c r="E751" s="7"/>
      <c r="F751" s="8"/>
      <c r="H751" s="7"/>
    </row>
    <row r="752" ht="17.25" customHeight="1">
      <c r="C752" s="7"/>
      <c r="D752" s="7"/>
      <c r="E752" s="7"/>
      <c r="F752" s="8"/>
      <c r="H752" s="7"/>
    </row>
    <row r="753" ht="17.25" customHeight="1">
      <c r="C753" s="7"/>
      <c r="D753" s="7"/>
      <c r="E753" s="7"/>
      <c r="F753" s="8"/>
      <c r="H753" s="7"/>
    </row>
    <row r="754" ht="17.25" customHeight="1">
      <c r="C754" s="7"/>
      <c r="D754" s="7"/>
      <c r="E754" s="7"/>
      <c r="F754" s="8"/>
      <c r="H754" s="7"/>
    </row>
    <row r="755" ht="17.25" customHeight="1">
      <c r="C755" s="7"/>
      <c r="D755" s="7"/>
      <c r="E755" s="7"/>
      <c r="F755" s="8"/>
      <c r="H755" s="7"/>
    </row>
    <row r="756" ht="17.25" customHeight="1">
      <c r="C756" s="7"/>
      <c r="D756" s="7"/>
      <c r="E756" s="7"/>
      <c r="F756" s="8"/>
      <c r="H756" s="7"/>
    </row>
    <row r="757" ht="17.25" customHeight="1">
      <c r="C757" s="7"/>
      <c r="D757" s="7"/>
      <c r="E757" s="7"/>
      <c r="F757" s="8"/>
      <c r="H757" s="7"/>
    </row>
    <row r="758" ht="17.25" customHeight="1">
      <c r="C758" s="7"/>
      <c r="D758" s="7"/>
      <c r="E758" s="7"/>
      <c r="F758" s="8"/>
      <c r="H758" s="7"/>
    </row>
    <row r="759" ht="17.25" customHeight="1">
      <c r="C759" s="7"/>
      <c r="D759" s="7"/>
      <c r="E759" s="7"/>
      <c r="F759" s="8"/>
      <c r="H759" s="7"/>
    </row>
    <row r="760" ht="17.25" customHeight="1">
      <c r="C760" s="7"/>
      <c r="D760" s="7"/>
      <c r="E760" s="7"/>
      <c r="F760" s="8"/>
      <c r="H760" s="7"/>
    </row>
    <row r="761" ht="17.25" customHeight="1">
      <c r="C761" s="7"/>
      <c r="D761" s="7"/>
      <c r="E761" s="7"/>
      <c r="F761" s="8"/>
      <c r="H761" s="7"/>
    </row>
    <row r="762" ht="17.25" customHeight="1">
      <c r="C762" s="7"/>
      <c r="D762" s="7"/>
      <c r="E762" s="7"/>
      <c r="F762" s="8"/>
      <c r="H762" s="7"/>
    </row>
    <row r="763" ht="17.25" customHeight="1">
      <c r="C763" s="7"/>
      <c r="D763" s="7"/>
      <c r="E763" s="7"/>
      <c r="F763" s="8"/>
      <c r="H763" s="7"/>
    </row>
    <row r="764" ht="17.25" customHeight="1">
      <c r="C764" s="7"/>
      <c r="D764" s="7"/>
      <c r="E764" s="7"/>
      <c r="F764" s="8"/>
      <c r="H764" s="7"/>
    </row>
    <row r="765" ht="17.25" customHeight="1">
      <c r="C765" s="7"/>
      <c r="D765" s="7"/>
      <c r="E765" s="7"/>
      <c r="F765" s="8"/>
      <c r="H765" s="7"/>
    </row>
    <row r="766" ht="17.25" customHeight="1">
      <c r="C766" s="7"/>
      <c r="D766" s="7"/>
      <c r="E766" s="7"/>
      <c r="F766" s="8"/>
      <c r="H766" s="7"/>
    </row>
    <row r="767" ht="17.25" customHeight="1">
      <c r="C767" s="7"/>
      <c r="D767" s="7"/>
      <c r="E767" s="7"/>
      <c r="F767" s="8"/>
      <c r="H767" s="7"/>
    </row>
    <row r="768" ht="17.25" customHeight="1">
      <c r="C768" s="7"/>
      <c r="D768" s="7"/>
      <c r="E768" s="7"/>
      <c r="F768" s="8"/>
      <c r="H768" s="7"/>
    </row>
    <row r="769" ht="17.25" customHeight="1">
      <c r="C769" s="7"/>
      <c r="D769" s="7"/>
      <c r="E769" s="7"/>
      <c r="F769" s="8"/>
      <c r="H769" s="7"/>
    </row>
    <row r="770" ht="17.25" customHeight="1">
      <c r="C770" s="7"/>
      <c r="D770" s="7"/>
      <c r="E770" s="7"/>
      <c r="F770" s="8"/>
      <c r="H770" s="7"/>
    </row>
    <row r="771" ht="17.25" customHeight="1">
      <c r="C771" s="7"/>
      <c r="D771" s="7"/>
      <c r="E771" s="7"/>
      <c r="F771" s="8"/>
      <c r="H771" s="7"/>
    </row>
    <row r="772" ht="17.25" customHeight="1">
      <c r="C772" s="7"/>
      <c r="D772" s="7"/>
      <c r="E772" s="7"/>
      <c r="F772" s="8"/>
      <c r="H772" s="7"/>
    </row>
    <row r="773" ht="17.25" customHeight="1">
      <c r="C773" s="7"/>
      <c r="D773" s="7"/>
      <c r="E773" s="7"/>
      <c r="F773" s="8"/>
      <c r="H773" s="7"/>
    </row>
    <row r="774" ht="17.25" customHeight="1">
      <c r="C774" s="7"/>
      <c r="D774" s="7"/>
      <c r="E774" s="7"/>
      <c r="F774" s="8"/>
      <c r="H774" s="7"/>
    </row>
    <row r="775" ht="17.25" customHeight="1">
      <c r="C775" s="7"/>
      <c r="D775" s="7"/>
      <c r="E775" s="7"/>
      <c r="F775" s="8"/>
      <c r="H775" s="7"/>
    </row>
    <row r="776" ht="17.25" customHeight="1">
      <c r="C776" s="7"/>
      <c r="D776" s="7"/>
      <c r="E776" s="7"/>
      <c r="F776" s="8"/>
      <c r="H776" s="7"/>
    </row>
    <row r="777" ht="17.25" customHeight="1">
      <c r="C777" s="7"/>
      <c r="D777" s="7"/>
      <c r="E777" s="7"/>
      <c r="F777" s="8"/>
      <c r="H777" s="7"/>
    </row>
    <row r="778" ht="17.25" customHeight="1">
      <c r="C778" s="7"/>
      <c r="D778" s="7"/>
      <c r="E778" s="7"/>
      <c r="F778" s="8"/>
      <c r="H778" s="7"/>
    </row>
    <row r="779" ht="17.25" customHeight="1">
      <c r="C779" s="7"/>
      <c r="D779" s="7"/>
      <c r="E779" s="7"/>
      <c r="F779" s="8"/>
      <c r="H779" s="7"/>
    </row>
    <row r="780" ht="17.25" customHeight="1">
      <c r="C780" s="7"/>
      <c r="D780" s="7"/>
      <c r="E780" s="7"/>
      <c r="F780" s="8"/>
      <c r="H780" s="7"/>
    </row>
    <row r="781" ht="17.25" customHeight="1">
      <c r="C781" s="7"/>
      <c r="D781" s="7"/>
      <c r="E781" s="7"/>
      <c r="F781" s="8"/>
      <c r="H781" s="7"/>
    </row>
    <row r="782" ht="17.25" customHeight="1">
      <c r="C782" s="7"/>
      <c r="D782" s="7"/>
      <c r="E782" s="7"/>
      <c r="F782" s="8"/>
      <c r="H782" s="7"/>
    </row>
    <row r="783" ht="17.25" customHeight="1">
      <c r="C783" s="7"/>
      <c r="D783" s="7"/>
      <c r="E783" s="7"/>
      <c r="F783" s="8"/>
      <c r="H783" s="7"/>
    </row>
    <row r="784" ht="17.25" customHeight="1">
      <c r="C784" s="7"/>
      <c r="D784" s="7"/>
      <c r="E784" s="7"/>
      <c r="F784" s="8"/>
      <c r="H784" s="7"/>
    </row>
    <row r="785" ht="17.25" customHeight="1">
      <c r="C785" s="7"/>
      <c r="D785" s="7"/>
      <c r="E785" s="7"/>
      <c r="F785" s="8"/>
      <c r="H785" s="7"/>
    </row>
    <row r="786" ht="17.25" customHeight="1">
      <c r="C786" s="7"/>
      <c r="D786" s="7"/>
      <c r="E786" s="7"/>
      <c r="F786" s="8"/>
      <c r="H786" s="7"/>
    </row>
    <row r="787" ht="17.25" customHeight="1">
      <c r="C787" s="7"/>
      <c r="D787" s="7"/>
      <c r="E787" s="7"/>
      <c r="F787" s="8"/>
      <c r="H787" s="7"/>
    </row>
    <row r="788" ht="17.25" customHeight="1">
      <c r="C788" s="7"/>
      <c r="D788" s="7"/>
      <c r="E788" s="7"/>
      <c r="F788" s="8"/>
      <c r="H788" s="7"/>
    </row>
    <row r="789" ht="17.25" customHeight="1">
      <c r="C789" s="7"/>
      <c r="D789" s="7"/>
      <c r="E789" s="7"/>
      <c r="F789" s="8"/>
      <c r="H789" s="7"/>
    </row>
    <row r="790" ht="17.25" customHeight="1">
      <c r="C790" s="7"/>
      <c r="D790" s="7"/>
      <c r="E790" s="7"/>
      <c r="F790" s="8"/>
      <c r="H790" s="7"/>
    </row>
    <row r="791" ht="17.25" customHeight="1">
      <c r="C791" s="7"/>
      <c r="D791" s="7"/>
      <c r="E791" s="7"/>
      <c r="F791" s="8"/>
      <c r="H791" s="7"/>
    </row>
    <row r="792" ht="17.25" customHeight="1">
      <c r="C792" s="7"/>
      <c r="D792" s="7"/>
      <c r="E792" s="7"/>
      <c r="F792" s="8"/>
      <c r="H792" s="7"/>
    </row>
    <row r="793" ht="17.25" customHeight="1">
      <c r="C793" s="7"/>
      <c r="D793" s="7"/>
      <c r="E793" s="7"/>
      <c r="F793" s="8"/>
      <c r="H793" s="7"/>
    </row>
    <row r="794" ht="17.25" customHeight="1">
      <c r="C794" s="7"/>
      <c r="D794" s="7"/>
      <c r="E794" s="7"/>
      <c r="F794" s="8"/>
      <c r="H794" s="7"/>
    </row>
    <row r="795" ht="17.25" customHeight="1">
      <c r="C795" s="7"/>
      <c r="D795" s="7"/>
      <c r="E795" s="7"/>
      <c r="F795" s="8"/>
      <c r="H795" s="7"/>
    </row>
    <row r="796" ht="17.25" customHeight="1">
      <c r="C796" s="7"/>
      <c r="D796" s="7"/>
      <c r="E796" s="7"/>
      <c r="F796" s="8"/>
      <c r="H796" s="7"/>
    </row>
    <row r="797" ht="17.25" customHeight="1">
      <c r="C797" s="7"/>
      <c r="D797" s="7"/>
      <c r="E797" s="7"/>
      <c r="F797" s="8"/>
      <c r="H797" s="7"/>
    </row>
    <row r="798" ht="17.25" customHeight="1">
      <c r="C798" s="7"/>
      <c r="D798" s="7"/>
      <c r="E798" s="7"/>
      <c r="F798" s="8"/>
      <c r="H798" s="7"/>
    </row>
    <row r="799" ht="17.25" customHeight="1">
      <c r="C799" s="7"/>
      <c r="D799" s="7"/>
      <c r="E799" s="7"/>
      <c r="F799" s="8"/>
      <c r="H799" s="7"/>
    </row>
    <row r="800" ht="17.25" customHeight="1">
      <c r="C800" s="7"/>
      <c r="D800" s="7"/>
      <c r="E800" s="7"/>
      <c r="F800" s="8"/>
      <c r="H800" s="7"/>
    </row>
    <row r="801" ht="17.25" customHeight="1">
      <c r="C801" s="7"/>
      <c r="D801" s="7"/>
      <c r="E801" s="7"/>
      <c r="F801" s="8"/>
      <c r="H801" s="7"/>
    </row>
    <row r="802" ht="17.25" customHeight="1">
      <c r="C802" s="7"/>
      <c r="D802" s="7"/>
      <c r="E802" s="7"/>
      <c r="F802" s="8"/>
      <c r="H802" s="7"/>
    </row>
    <row r="803" ht="17.25" customHeight="1">
      <c r="C803" s="7"/>
      <c r="D803" s="7"/>
      <c r="E803" s="7"/>
      <c r="F803" s="8"/>
      <c r="H803" s="7"/>
    </row>
    <row r="804" ht="17.25" customHeight="1">
      <c r="C804" s="7"/>
      <c r="D804" s="7"/>
      <c r="E804" s="7"/>
      <c r="F804" s="8"/>
      <c r="H804" s="7"/>
    </row>
    <row r="805" ht="17.25" customHeight="1">
      <c r="C805" s="7"/>
      <c r="D805" s="7"/>
      <c r="E805" s="7"/>
      <c r="F805" s="8"/>
      <c r="H805" s="7"/>
    </row>
    <row r="806" ht="17.25" customHeight="1">
      <c r="C806" s="7"/>
      <c r="D806" s="7"/>
      <c r="E806" s="7"/>
      <c r="F806" s="8"/>
      <c r="H806" s="7"/>
    </row>
    <row r="807" ht="17.25" customHeight="1">
      <c r="C807" s="7"/>
      <c r="D807" s="7"/>
      <c r="E807" s="7"/>
      <c r="F807" s="8"/>
      <c r="H807" s="7"/>
    </row>
    <row r="808" ht="17.25" customHeight="1">
      <c r="C808" s="7"/>
      <c r="D808" s="7"/>
      <c r="E808" s="7"/>
      <c r="F808" s="8"/>
      <c r="H808" s="7"/>
    </row>
    <row r="809" ht="17.25" customHeight="1">
      <c r="C809" s="7"/>
      <c r="D809" s="7"/>
      <c r="E809" s="7"/>
      <c r="F809" s="8"/>
      <c r="H809" s="7"/>
    </row>
    <row r="810" ht="17.25" customHeight="1">
      <c r="C810" s="7"/>
      <c r="D810" s="7"/>
      <c r="E810" s="7"/>
      <c r="F810" s="8"/>
      <c r="H810" s="7"/>
    </row>
    <row r="811" ht="17.25" customHeight="1">
      <c r="C811" s="7"/>
      <c r="D811" s="7"/>
      <c r="E811" s="7"/>
      <c r="F811" s="8"/>
      <c r="H811" s="7"/>
    </row>
    <row r="812" ht="17.25" customHeight="1">
      <c r="C812" s="7"/>
      <c r="D812" s="7"/>
      <c r="E812" s="7"/>
      <c r="F812" s="8"/>
      <c r="H812" s="7"/>
    </row>
    <row r="813" ht="17.25" customHeight="1">
      <c r="C813" s="7"/>
      <c r="D813" s="7"/>
      <c r="E813" s="7"/>
      <c r="F813" s="8"/>
      <c r="H813" s="7"/>
    </row>
    <row r="814" ht="17.25" customHeight="1">
      <c r="C814" s="7"/>
      <c r="D814" s="7"/>
      <c r="E814" s="7"/>
      <c r="F814" s="8"/>
      <c r="H814" s="7"/>
    </row>
    <row r="815" ht="17.25" customHeight="1">
      <c r="C815" s="7"/>
      <c r="D815" s="7"/>
      <c r="E815" s="7"/>
      <c r="F815" s="8"/>
      <c r="H815" s="7"/>
    </row>
    <row r="816" ht="17.25" customHeight="1">
      <c r="C816" s="7"/>
      <c r="D816" s="7"/>
      <c r="E816" s="7"/>
      <c r="F816" s="8"/>
      <c r="H816" s="7"/>
    </row>
    <row r="817" ht="17.25" customHeight="1">
      <c r="C817" s="7"/>
      <c r="D817" s="7"/>
      <c r="E817" s="7"/>
      <c r="F817" s="8"/>
      <c r="H817" s="7"/>
    </row>
    <row r="818" ht="17.25" customHeight="1">
      <c r="C818" s="7"/>
      <c r="D818" s="7"/>
      <c r="E818" s="7"/>
      <c r="F818" s="8"/>
      <c r="H818" s="7"/>
    </row>
    <row r="819" ht="17.25" customHeight="1">
      <c r="C819" s="7"/>
      <c r="D819" s="7"/>
      <c r="E819" s="7"/>
      <c r="F819" s="8"/>
      <c r="H819" s="7"/>
    </row>
    <row r="820" ht="17.25" customHeight="1">
      <c r="C820" s="7"/>
      <c r="D820" s="7"/>
      <c r="E820" s="7"/>
      <c r="F820" s="8"/>
      <c r="H820" s="7"/>
    </row>
    <row r="821" ht="17.25" customHeight="1">
      <c r="C821" s="7"/>
      <c r="D821" s="7"/>
      <c r="E821" s="7"/>
      <c r="F821" s="8"/>
      <c r="H821" s="7"/>
    </row>
    <row r="822" ht="17.25" customHeight="1">
      <c r="C822" s="7"/>
      <c r="D822" s="7"/>
      <c r="E822" s="7"/>
      <c r="F822" s="8"/>
      <c r="H822" s="7"/>
    </row>
    <row r="823" ht="17.25" customHeight="1">
      <c r="C823" s="7"/>
      <c r="D823" s="7"/>
      <c r="E823" s="7"/>
      <c r="F823" s="8"/>
      <c r="H823" s="7"/>
    </row>
    <row r="824" ht="17.25" customHeight="1">
      <c r="C824" s="7"/>
      <c r="D824" s="7"/>
      <c r="E824" s="7"/>
      <c r="F824" s="8"/>
      <c r="H824" s="7"/>
    </row>
    <row r="825" ht="17.25" customHeight="1">
      <c r="C825" s="7"/>
      <c r="D825" s="7"/>
      <c r="E825" s="7"/>
      <c r="F825" s="8"/>
      <c r="H825" s="7"/>
    </row>
    <row r="826" ht="17.25" customHeight="1">
      <c r="C826" s="7"/>
      <c r="D826" s="7"/>
      <c r="E826" s="7"/>
      <c r="F826" s="8"/>
      <c r="H826" s="7"/>
    </row>
    <row r="827" ht="17.25" customHeight="1">
      <c r="C827" s="7"/>
      <c r="D827" s="7"/>
      <c r="E827" s="7"/>
      <c r="F827" s="8"/>
      <c r="H827" s="7"/>
    </row>
    <row r="828" ht="17.25" customHeight="1">
      <c r="C828" s="7"/>
      <c r="D828" s="7"/>
      <c r="E828" s="7"/>
      <c r="F828" s="8"/>
      <c r="H828" s="7"/>
    </row>
    <row r="829" ht="17.25" customHeight="1">
      <c r="C829" s="7"/>
      <c r="D829" s="7"/>
      <c r="E829" s="7"/>
      <c r="F829" s="8"/>
      <c r="H829" s="7"/>
    </row>
    <row r="830" ht="17.25" customHeight="1">
      <c r="C830" s="7"/>
      <c r="D830" s="7"/>
      <c r="E830" s="7"/>
      <c r="F830" s="8"/>
      <c r="H830" s="7"/>
    </row>
    <row r="831" ht="17.25" customHeight="1">
      <c r="C831" s="7"/>
      <c r="D831" s="7"/>
      <c r="E831" s="7"/>
      <c r="F831" s="8"/>
      <c r="H831" s="7"/>
    </row>
    <row r="832" ht="17.25" customHeight="1">
      <c r="C832" s="7"/>
      <c r="D832" s="7"/>
      <c r="E832" s="7"/>
      <c r="F832" s="8"/>
      <c r="H832" s="7"/>
    </row>
    <row r="833" ht="17.25" customHeight="1">
      <c r="C833" s="7"/>
      <c r="D833" s="7"/>
      <c r="E833" s="7"/>
      <c r="F833" s="8"/>
      <c r="H833" s="7"/>
    </row>
    <row r="834" ht="17.25" customHeight="1">
      <c r="C834" s="7"/>
      <c r="D834" s="7"/>
      <c r="E834" s="7"/>
      <c r="F834" s="8"/>
      <c r="H834" s="7"/>
    </row>
    <row r="835" ht="17.25" customHeight="1">
      <c r="C835" s="7"/>
      <c r="D835" s="7"/>
      <c r="E835" s="7"/>
      <c r="F835" s="8"/>
      <c r="H835" s="7"/>
    </row>
    <row r="836" ht="17.25" customHeight="1">
      <c r="C836" s="7"/>
      <c r="D836" s="7"/>
      <c r="E836" s="7"/>
      <c r="F836" s="8"/>
      <c r="H836" s="7"/>
    </row>
    <row r="837" ht="17.25" customHeight="1">
      <c r="C837" s="7"/>
      <c r="D837" s="7"/>
      <c r="E837" s="7"/>
      <c r="F837" s="8"/>
      <c r="H837" s="7"/>
    </row>
    <row r="838" ht="17.25" customHeight="1">
      <c r="C838" s="7"/>
      <c r="D838" s="7"/>
      <c r="E838" s="7"/>
      <c r="F838" s="8"/>
      <c r="H838" s="7"/>
    </row>
    <row r="839" ht="17.25" customHeight="1">
      <c r="C839" s="7"/>
      <c r="D839" s="7"/>
      <c r="E839" s="7"/>
      <c r="F839" s="8"/>
      <c r="H839" s="7"/>
    </row>
    <row r="840" ht="17.25" customHeight="1">
      <c r="C840" s="7"/>
      <c r="D840" s="7"/>
      <c r="E840" s="7"/>
      <c r="F840" s="8"/>
      <c r="H840" s="7"/>
    </row>
    <row r="841" ht="17.25" customHeight="1">
      <c r="C841" s="7"/>
      <c r="D841" s="7"/>
      <c r="E841" s="7"/>
      <c r="F841" s="8"/>
      <c r="H841" s="7"/>
    </row>
    <row r="842" ht="17.25" customHeight="1">
      <c r="C842" s="7"/>
      <c r="D842" s="7"/>
      <c r="E842" s="7"/>
      <c r="F842" s="8"/>
      <c r="H842" s="7"/>
    </row>
    <row r="843" ht="17.25" customHeight="1">
      <c r="C843" s="7"/>
      <c r="D843" s="7"/>
      <c r="E843" s="7"/>
      <c r="F843" s="8"/>
      <c r="H843" s="7"/>
    </row>
    <row r="844" ht="17.25" customHeight="1">
      <c r="C844" s="7"/>
      <c r="D844" s="7"/>
      <c r="E844" s="7"/>
      <c r="F844" s="8"/>
      <c r="H844" s="7"/>
    </row>
    <row r="845" ht="17.25" customHeight="1">
      <c r="C845" s="7"/>
      <c r="D845" s="7"/>
      <c r="E845" s="7"/>
      <c r="F845" s="8"/>
      <c r="H845" s="7"/>
    </row>
    <row r="846" ht="17.25" customHeight="1">
      <c r="C846" s="7"/>
      <c r="D846" s="7"/>
      <c r="E846" s="7"/>
      <c r="F846" s="8"/>
      <c r="H846" s="7"/>
    </row>
    <row r="847" ht="17.25" customHeight="1">
      <c r="C847" s="7"/>
      <c r="D847" s="7"/>
      <c r="E847" s="7"/>
      <c r="F847" s="8"/>
      <c r="H847" s="7"/>
    </row>
    <row r="848" ht="17.25" customHeight="1">
      <c r="C848" s="7"/>
      <c r="D848" s="7"/>
      <c r="E848" s="7"/>
      <c r="F848" s="8"/>
      <c r="H848" s="7"/>
    </row>
    <row r="849" ht="17.25" customHeight="1">
      <c r="C849" s="7"/>
      <c r="D849" s="7"/>
      <c r="E849" s="7"/>
      <c r="F849" s="8"/>
      <c r="H849" s="7"/>
    </row>
    <row r="850" ht="17.25" customHeight="1">
      <c r="C850" s="7"/>
      <c r="D850" s="7"/>
      <c r="E850" s="7"/>
      <c r="F850" s="8"/>
      <c r="H850" s="7"/>
    </row>
    <row r="851" ht="17.25" customHeight="1">
      <c r="C851" s="7"/>
      <c r="D851" s="7"/>
      <c r="E851" s="7"/>
      <c r="F851" s="8"/>
      <c r="H851" s="7"/>
    </row>
    <row r="852" ht="17.25" customHeight="1">
      <c r="C852" s="7"/>
      <c r="D852" s="7"/>
      <c r="E852" s="7"/>
      <c r="F852" s="8"/>
      <c r="H852" s="7"/>
    </row>
    <row r="853" ht="17.25" customHeight="1">
      <c r="C853" s="7"/>
      <c r="D853" s="7"/>
      <c r="E853" s="7"/>
      <c r="F853" s="8"/>
      <c r="H853" s="7"/>
    </row>
    <row r="854" ht="17.25" customHeight="1">
      <c r="C854" s="7"/>
      <c r="D854" s="7"/>
      <c r="E854" s="7"/>
      <c r="F854" s="8"/>
      <c r="H854" s="7"/>
    </row>
    <row r="855" ht="17.25" customHeight="1">
      <c r="C855" s="7"/>
      <c r="D855" s="7"/>
      <c r="E855" s="7"/>
      <c r="F855" s="8"/>
      <c r="H855" s="7"/>
    </row>
    <row r="856" ht="17.25" customHeight="1">
      <c r="C856" s="7"/>
      <c r="D856" s="7"/>
      <c r="E856" s="7"/>
      <c r="F856" s="8"/>
      <c r="H856" s="7"/>
    </row>
    <row r="857" ht="17.25" customHeight="1">
      <c r="C857" s="7"/>
      <c r="D857" s="7"/>
      <c r="E857" s="7"/>
      <c r="F857" s="8"/>
      <c r="H857" s="7"/>
    </row>
    <row r="858" ht="17.25" customHeight="1">
      <c r="C858" s="7"/>
      <c r="D858" s="7"/>
      <c r="E858" s="7"/>
      <c r="F858" s="8"/>
      <c r="H858" s="7"/>
    </row>
    <row r="859" ht="17.25" customHeight="1">
      <c r="C859" s="7"/>
      <c r="D859" s="7"/>
      <c r="E859" s="7"/>
      <c r="F859" s="8"/>
      <c r="H859" s="7"/>
    </row>
    <row r="860" ht="17.25" customHeight="1">
      <c r="C860" s="7"/>
      <c r="D860" s="7"/>
      <c r="E860" s="7"/>
      <c r="F860" s="8"/>
      <c r="H860" s="7"/>
    </row>
    <row r="861" ht="17.25" customHeight="1">
      <c r="C861" s="7"/>
      <c r="D861" s="7"/>
      <c r="E861" s="7"/>
      <c r="F861" s="8"/>
      <c r="H861" s="7"/>
    </row>
    <row r="862" ht="17.25" customHeight="1">
      <c r="C862" s="7"/>
      <c r="D862" s="7"/>
      <c r="E862" s="7"/>
      <c r="F862" s="8"/>
      <c r="H862" s="7"/>
    </row>
    <row r="863" ht="17.25" customHeight="1">
      <c r="C863" s="7"/>
      <c r="D863" s="7"/>
      <c r="E863" s="7"/>
      <c r="F863" s="8"/>
      <c r="H863" s="7"/>
    </row>
    <row r="864" ht="17.25" customHeight="1">
      <c r="C864" s="7"/>
      <c r="D864" s="7"/>
      <c r="E864" s="7"/>
      <c r="F864" s="8"/>
      <c r="H864" s="7"/>
    </row>
    <row r="865" ht="17.25" customHeight="1">
      <c r="C865" s="7"/>
      <c r="D865" s="7"/>
      <c r="E865" s="7"/>
      <c r="F865" s="8"/>
      <c r="H865" s="7"/>
    </row>
    <row r="866" ht="17.25" customHeight="1">
      <c r="C866" s="7"/>
      <c r="D866" s="7"/>
      <c r="E866" s="7"/>
      <c r="F866" s="8"/>
      <c r="H866" s="7"/>
    </row>
    <row r="867" ht="17.25" customHeight="1">
      <c r="C867" s="7"/>
      <c r="D867" s="7"/>
      <c r="E867" s="7"/>
      <c r="F867" s="8"/>
      <c r="H867" s="7"/>
    </row>
    <row r="868" ht="17.25" customHeight="1">
      <c r="C868" s="7"/>
      <c r="D868" s="7"/>
      <c r="E868" s="7"/>
      <c r="F868" s="8"/>
      <c r="H868" s="7"/>
    </row>
    <row r="869" ht="17.25" customHeight="1">
      <c r="C869" s="7"/>
      <c r="D869" s="7"/>
      <c r="E869" s="7"/>
      <c r="F869" s="8"/>
      <c r="H869" s="7"/>
    </row>
    <row r="870" ht="17.25" customHeight="1">
      <c r="C870" s="7"/>
      <c r="D870" s="7"/>
      <c r="E870" s="7"/>
      <c r="F870" s="8"/>
      <c r="H870" s="7"/>
    </row>
    <row r="871" ht="17.25" customHeight="1">
      <c r="C871" s="7"/>
      <c r="D871" s="7"/>
      <c r="E871" s="7"/>
      <c r="F871" s="8"/>
      <c r="H871" s="7"/>
    </row>
    <row r="872" ht="17.25" customHeight="1">
      <c r="C872" s="7"/>
      <c r="D872" s="7"/>
      <c r="E872" s="7"/>
      <c r="F872" s="8"/>
      <c r="H872" s="7"/>
    </row>
    <row r="873" ht="17.25" customHeight="1">
      <c r="C873" s="7"/>
      <c r="D873" s="7"/>
      <c r="E873" s="7"/>
      <c r="F873" s="8"/>
      <c r="H873" s="7"/>
    </row>
    <row r="874" ht="17.25" customHeight="1">
      <c r="C874" s="7"/>
      <c r="D874" s="7"/>
      <c r="E874" s="7"/>
      <c r="F874" s="8"/>
      <c r="H874" s="7"/>
    </row>
    <row r="875" ht="17.25" customHeight="1">
      <c r="C875" s="7"/>
      <c r="D875" s="7"/>
      <c r="E875" s="7"/>
      <c r="F875" s="8"/>
      <c r="H875" s="7"/>
    </row>
    <row r="876" ht="17.25" customHeight="1">
      <c r="C876" s="7"/>
      <c r="D876" s="7"/>
      <c r="E876" s="7"/>
      <c r="F876" s="8"/>
      <c r="H876" s="7"/>
    </row>
    <row r="877" ht="17.25" customHeight="1">
      <c r="C877" s="7"/>
      <c r="D877" s="7"/>
      <c r="E877" s="7"/>
      <c r="F877" s="8"/>
      <c r="H877" s="7"/>
    </row>
    <row r="878" ht="17.25" customHeight="1">
      <c r="C878" s="7"/>
      <c r="D878" s="7"/>
      <c r="E878" s="7"/>
      <c r="F878" s="8"/>
      <c r="H878" s="7"/>
    </row>
    <row r="879" ht="17.25" customHeight="1">
      <c r="C879" s="7"/>
      <c r="D879" s="7"/>
      <c r="E879" s="7"/>
      <c r="F879" s="8"/>
      <c r="H879" s="7"/>
    </row>
    <row r="880" ht="17.25" customHeight="1">
      <c r="C880" s="7"/>
      <c r="D880" s="7"/>
      <c r="E880" s="7"/>
      <c r="F880" s="8"/>
      <c r="H880" s="7"/>
    </row>
    <row r="881" ht="17.25" customHeight="1">
      <c r="C881" s="7"/>
      <c r="D881" s="7"/>
      <c r="E881" s="7"/>
      <c r="F881" s="8"/>
      <c r="H881" s="7"/>
    </row>
    <row r="882" ht="17.25" customHeight="1">
      <c r="C882" s="7"/>
      <c r="D882" s="7"/>
      <c r="E882" s="7"/>
      <c r="F882" s="8"/>
      <c r="H882" s="7"/>
    </row>
    <row r="883" ht="17.25" customHeight="1">
      <c r="C883" s="7"/>
      <c r="D883" s="7"/>
      <c r="E883" s="7"/>
      <c r="F883" s="8"/>
      <c r="H883" s="7"/>
    </row>
    <row r="884" ht="17.25" customHeight="1">
      <c r="C884" s="7"/>
      <c r="D884" s="7"/>
      <c r="E884" s="7"/>
      <c r="F884" s="8"/>
      <c r="H884" s="7"/>
    </row>
    <row r="885" ht="17.25" customHeight="1">
      <c r="C885" s="7"/>
      <c r="D885" s="7"/>
      <c r="E885" s="7"/>
      <c r="F885" s="8"/>
      <c r="H885" s="7"/>
    </row>
    <row r="886" ht="17.25" customHeight="1">
      <c r="C886" s="7"/>
      <c r="D886" s="7"/>
      <c r="E886" s="7"/>
      <c r="F886" s="8"/>
      <c r="H886" s="7"/>
    </row>
    <row r="887" ht="17.25" customHeight="1">
      <c r="C887" s="7"/>
      <c r="D887" s="7"/>
      <c r="E887" s="7"/>
      <c r="F887" s="8"/>
      <c r="H887" s="7"/>
    </row>
    <row r="888" ht="17.25" customHeight="1">
      <c r="C888" s="7"/>
      <c r="D888" s="7"/>
      <c r="E888" s="7"/>
      <c r="F888" s="8"/>
      <c r="H888" s="7"/>
    </row>
    <row r="889" ht="17.25" customHeight="1">
      <c r="C889" s="7"/>
      <c r="D889" s="7"/>
      <c r="E889" s="7"/>
      <c r="F889" s="8"/>
      <c r="H889" s="7"/>
    </row>
    <row r="890" ht="17.25" customHeight="1">
      <c r="C890" s="7"/>
      <c r="D890" s="7"/>
      <c r="E890" s="7"/>
      <c r="F890" s="8"/>
      <c r="H890" s="7"/>
    </row>
    <row r="891" ht="17.25" customHeight="1">
      <c r="C891" s="7"/>
      <c r="D891" s="7"/>
      <c r="E891" s="7"/>
      <c r="F891" s="8"/>
      <c r="H891" s="7"/>
    </row>
    <row r="892" ht="17.25" customHeight="1">
      <c r="C892" s="7"/>
      <c r="D892" s="7"/>
      <c r="E892" s="7"/>
      <c r="F892" s="8"/>
      <c r="H892" s="7"/>
    </row>
    <row r="893" ht="17.25" customHeight="1">
      <c r="C893" s="7"/>
      <c r="D893" s="7"/>
      <c r="E893" s="7"/>
      <c r="F893" s="8"/>
      <c r="H893" s="7"/>
    </row>
    <row r="894" ht="17.25" customHeight="1">
      <c r="C894" s="7"/>
      <c r="D894" s="7"/>
      <c r="E894" s="7"/>
      <c r="F894" s="8"/>
      <c r="H894" s="7"/>
    </row>
    <row r="895" ht="17.25" customHeight="1">
      <c r="C895" s="7"/>
      <c r="D895" s="7"/>
      <c r="E895" s="7"/>
      <c r="F895" s="8"/>
      <c r="H895" s="7"/>
    </row>
    <row r="896" ht="17.25" customHeight="1">
      <c r="C896" s="7"/>
      <c r="D896" s="7"/>
      <c r="E896" s="7"/>
      <c r="F896" s="8"/>
      <c r="H896" s="7"/>
    </row>
    <row r="897" ht="17.25" customHeight="1">
      <c r="C897" s="7"/>
      <c r="D897" s="7"/>
      <c r="E897" s="7"/>
      <c r="F897" s="8"/>
      <c r="H897" s="7"/>
    </row>
    <row r="898" ht="17.25" customHeight="1">
      <c r="C898" s="7"/>
      <c r="D898" s="7"/>
      <c r="E898" s="7"/>
      <c r="F898" s="8"/>
      <c r="H898" s="7"/>
    </row>
    <row r="899" ht="17.25" customHeight="1">
      <c r="C899" s="7"/>
      <c r="D899" s="7"/>
      <c r="E899" s="7"/>
      <c r="F899" s="8"/>
      <c r="H899" s="7"/>
    </row>
    <row r="900" ht="17.25" customHeight="1">
      <c r="C900" s="7"/>
      <c r="D900" s="7"/>
      <c r="E900" s="7"/>
      <c r="F900" s="8"/>
      <c r="H900" s="7"/>
    </row>
    <row r="901" ht="17.25" customHeight="1">
      <c r="C901" s="7"/>
      <c r="D901" s="7"/>
      <c r="E901" s="7"/>
      <c r="F901" s="8"/>
      <c r="H901" s="7"/>
    </row>
    <row r="902" ht="17.25" customHeight="1">
      <c r="C902" s="7"/>
      <c r="D902" s="7"/>
      <c r="E902" s="7"/>
      <c r="F902" s="8"/>
      <c r="H902" s="7"/>
    </row>
    <row r="903" ht="17.25" customHeight="1">
      <c r="C903" s="7"/>
      <c r="D903" s="7"/>
      <c r="E903" s="7"/>
      <c r="F903" s="8"/>
      <c r="H903" s="7"/>
    </row>
    <row r="904" ht="17.25" customHeight="1">
      <c r="C904" s="7"/>
      <c r="D904" s="7"/>
      <c r="E904" s="7"/>
      <c r="F904" s="8"/>
      <c r="H904" s="7"/>
    </row>
    <row r="905" ht="17.25" customHeight="1">
      <c r="C905" s="7"/>
      <c r="D905" s="7"/>
      <c r="E905" s="7"/>
      <c r="F905" s="8"/>
      <c r="H905" s="7"/>
    </row>
    <row r="906" ht="17.25" customHeight="1">
      <c r="C906" s="7"/>
      <c r="D906" s="7"/>
      <c r="E906" s="7"/>
      <c r="F906" s="8"/>
      <c r="H906" s="7"/>
    </row>
    <row r="907" ht="17.25" customHeight="1">
      <c r="C907" s="7"/>
      <c r="D907" s="7"/>
      <c r="E907" s="7"/>
      <c r="F907" s="8"/>
      <c r="H907" s="7"/>
    </row>
    <row r="908" ht="17.25" customHeight="1">
      <c r="C908" s="7"/>
      <c r="D908" s="7"/>
      <c r="E908" s="7"/>
      <c r="F908" s="8"/>
      <c r="H908" s="7"/>
    </row>
    <row r="909" ht="17.25" customHeight="1">
      <c r="C909" s="7"/>
      <c r="D909" s="7"/>
      <c r="E909" s="7"/>
      <c r="F909" s="8"/>
      <c r="H909" s="7"/>
    </row>
    <row r="910" ht="17.25" customHeight="1">
      <c r="C910" s="7"/>
      <c r="D910" s="7"/>
      <c r="E910" s="7"/>
      <c r="F910" s="8"/>
      <c r="H910" s="7"/>
    </row>
    <row r="911" ht="17.25" customHeight="1">
      <c r="C911" s="7"/>
      <c r="D911" s="7"/>
      <c r="E911" s="7"/>
      <c r="F911" s="8"/>
      <c r="H911" s="7"/>
    </row>
    <row r="912" ht="17.25" customHeight="1">
      <c r="C912" s="7"/>
      <c r="D912" s="7"/>
      <c r="E912" s="7"/>
      <c r="F912" s="8"/>
      <c r="H912" s="7"/>
    </row>
    <row r="913" ht="17.25" customHeight="1">
      <c r="C913" s="7"/>
      <c r="D913" s="7"/>
      <c r="E913" s="7"/>
      <c r="F913" s="8"/>
      <c r="H913" s="7"/>
    </row>
    <row r="914" ht="17.25" customHeight="1">
      <c r="C914" s="7"/>
      <c r="D914" s="7"/>
      <c r="E914" s="7"/>
      <c r="F914" s="8"/>
      <c r="H914" s="7"/>
    </row>
    <row r="915" ht="17.25" customHeight="1">
      <c r="C915" s="7"/>
      <c r="D915" s="7"/>
      <c r="E915" s="7"/>
      <c r="F915" s="8"/>
      <c r="H915" s="7"/>
    </row>
    <row r="916" ht="17.25" customHeight="1">
      <c r="C916" s="7"/>
      <c r="D916" s="7"/>
      <c r="E916" s="7"/>
      <c r="F916" s="8"/>
      <c r="H916" s="7"/>
    </row>
    <row r="917" ht="17.25" customHeight="1">
      <c r="C917" s="7"/>
      <c r="D917" s="7"/>
      <c r="E917" s="7"/>
      <c r="F917" s="8"/>
      <c r="H917" s="7"/>
    </row>
    <row r="918" ht="17.25" customHeight="1">
      <c r="C918" s="7"/>
      <c r="D918" s="7"/>
      <c r="E918" s="7"/>
      <c r="F918" s="8"/>
      <c r="H918" s="7"/>
    </row>
    <row r="919" ht="17.25" customHeight="1">
      <c r="C919" s="7"/>
      <c r="D919" s="7"/>
      <c r="E919" s="7"/>
      <c r="F919" s="8"/>
      <c r="H919" s="7"/>
    </row>
    <row r="920" ht="17.25" customHeight="1">
      <c r="C920" s="7"/>
      <c r="D920" s="7"/>
      <c r="E920" s="7"/>
      <c r="F920" s="8"/>
      <c r="H920" s="7"/>
    </row>
    <row r="921" ht="17.25" customHeight="1">
      <c r="C921" s="7"/>
      <c r="D921" s="7"/>
      <c r="E921" s="7"/>
      <c r="F921" s="8"/>
      <c r="H921" s="7"/>
    </row>
    <row r="922" ht="17.25" customHeight="1">
      <c r="C922" s="7"/>
      <c r="D922" s="7"/>
      <c r="E922" s="7"/>
      <c r="F922" s="8"/>
      <c r="H922" s="7"/>
    </row>
    <row r="923" ht="17.25" customHeight="1">
      <c r="C923" s="7"/>
      <c r="D923" s="7"/>
      <c r="E923" s="7"/>
      <c r="F923" s="8"/>
      <c r="H923" s="7"/>
    </row>
    <row r="924" ht="17.25" customHeight="1">
      <c r="C924" s="7"/>
      <c r="D924" s="7"/>
      <c r="E924" s="7"/>
      <c r="F924" s="8"/>
      <c r="H924" s="7"/>
    </row>
    <row r="925" ht="17.25" customHeight="1">
      <c r="C925" s="7"/>
      <c r="D925" s="7"/>
      <c r="E925" s="7"/>
      <c r="F925" s="8"/>
      <c r="H925" s="7"/>
    </row>
    <row r="926" ht="17.25" customHeight="1">
      <c r="C926" s="7"/>
      <c r="D926" s="7"/>
      <c r="E926" s="7"/>
      <c r="F926" s="8"/>
      <c r="H926" s="7"/>
    </row>
    <row r="927" ht="17.25" customHeight="1">
      <c r="C927" s="7"/>
      <c r="D927" s="7"/>
      <c r="E927" s="7"/>
      <c r="F927" s="8"/>
      <c r="H927" s="7"/>
    </row>
    <row r="928" ht="17.25" customHeight="1">
      <c r="C928" s="7"/>
      <c r="D928" s="7"/>
      <c r="E928" s="7"/>
      <c r="F928" s="8"/>
      <c r="H928" s="7"/>
    </row>
    <row r="929" ht="17.25" customHeight="1">
      <c r="C929" s="7"/>
      <c r="D929" s="7"/>
      <c r="E929" s="7"/>
      <c r="F929" s="8"/>
      <c r="H929" s="7"/>
    </row>
    <row r="930" ht="17.25" customHeight="1">
      <c r="C930" s="7"/>
      <c r="D930" s="7"/>
      <c r="E930" s="7"/>
      <c r="F930" s="8"/>
      <c r="H930" s="7"/>
    </row>
    <row r="931" ht="17.25" customHeight="1">
      <c r="C931" s="7"/>
      <c r="D931" s="7"/>
      <c r="E931" s="7"/>
      <c r="F931" s="8"/>
      <c r="H931" s="7"/>
    </row>
    <row r="932" ht="17.25" customHeight="1">
      <c r="C932" s="7"/>
      <c r="D932" s="7"/>
      <c r="E932" s="7"/>
      <c r="F932" s="8"/>
      <c r="H932" s="7"/>
    </row>
    <row r="933" ht="17.25" customHeight="1">
      <c r="C933" s="7"/>
      <c r="D933" s="7"/>
      <c r="E933" s="7"/>
      <c r="F933" s="8"/>
      <c r="H933" s="7"/>
    </row>
    <row r="934" ht="17.25" customHeight="1">
      <c r="C934" s="7"/>
      <c r="D934" s="7"/>
      <c r="E934" s="7"/>
      <c r="F934" s="8"/>
      <c r="H934" s="7"/>
    </row>
    <row r="935" ht="17.25" customHeight="1">
      <c r="C935" s="7"/>
      <c r="D935" s="7"/>
      <c r="E935" s="7"/>
      <c r="F935" s="8"/>
      <c r="H935" s="7"/>
    </row>
    <row r="936" ht="17.25" customHeight="1">
      <c r="C936" s="7"/>
      <c r="D936" s="7"/>
      <c r="E936" s="7"/>
      <c r="F936" s="8"/>
      <c r="H936" s="7"/>
    </row>
    <row r="937" ht="17.25" customHeight="1">
      <c r="C937" s="7"/>
      <c r="D937" s="7"/>
      <c r="E937" s="7"/>
      <c r="F937" s="8"/>
      <c r="H937" s="7"/>
    </row>
    <row r="938" ht="17.25" customHeight="1">
      <c r="C938" s="7"/>
      <c r="D938" s="7"/>
      <c r="E938" s="7"/>
      <c r="F938" s="8"/>
      <c r="H938" s="7"/>
    </row>
    <row r="939" ht="17.25" customHeight="1">
      <c r="C939" s="7"/>
      <c r="D939" s="7"/>
      <c r="E939" s="7"/>
      <c r="F939" s="8"/>
      <c r="H939" s="7"/>
    </row>
    <row r="940" ht="17.25" customHeight="1">
      <c r="C940" s="7"/>
      <c r="D940" s="7"/>
      <c r="E940" s="7"/>
      <c r="F940" s="8"/>
      <c r="H940" s="7"/>
    </row>
    <row r="941" ht="17.25" customHeight="1">
      <c r="C941" s="7"/>
      <c r="D941" s="7"/>
      <c r="E941" s="7"/>
      <c r="F941" s="8"/>
      <c r="H941" s="7"/>
    </row>
    <row r="942" ht="17.25" customHeight="1">
      <c r="C942" s="7"/>
      <c r="D942" s="7"/>
      <c r="E942" s="7"/>
      <c r="F942" s="8"/>
      <c r="H942" s="7"/>
    </row>
    <row r="943" ht="17.25" customHeight="1">
      <c r="C943" s="7"/>
      <c r="D943" s="7"/>
      <c r="E943" s="7"/>
      <c r="F943" s="8"/>
      <c r="H943" s="7"/>
    </row>
    <row r="944" ht="17.25" customHeight="1">
      <c r="C944" s="7"/>
      <c r="D944" s="7"/>
      <c r="E944" s="7"/>
      <c r="F944" s="8"/>
      <c r="H944" s="7"/>
    </row>
    <row r="945" ht="17.25" customHeight="1">
      <c r="C945" s="7"/>
      <c r="D945" s="7"/>
      <c r="E945" s="7"/>
      <c r="F945" s="8"/>
      <c r="H945" s="7"/>
    </row>
    <row r="946" ht="17.25" customHeight="1">
      <c r="C946" s="7"/>
      <c r="D946" s="7"/>
      <c r="E946" s="7"/>
      <c r="F946" s="8"/>
      <c r="H946" s="7"/>
    </row>
    <row r="947" ht="17.25" customHeight="1">
      <c r="C947" s="7"/>
      <c r="D947" s="7"/>
      <c r="E947" s="7"/>
      <c r="F947" s="8"/>
      <c r="H947" s="7"/>
    </row>
    <row r="948" ht="17.25" customHeight="1">
      <c r="C948" s="7"/>
      <c r="D948" s="7"/>
      <c r="E948" s="7"/>
      <c r="F948" s="8"/>
      <c r="H948" s="7"/>
    </row>
    <row r="949" ht="17.25" customHeight="1">
      <c r="C949" s="7"/>
      <c r="D949" s="7"/>
      <c r="E949" s="7"/>
      <c r="F949" s="8"/>
      <c r="H949" s="7"/>
    </row>
    <row r="950" ht="17.25" customHeight="1">
      <c r="C950" s="7"/>
      <c r="D950" s="7"/>
      <c r="E950" s="7"/>
      <c r="F950" s="8"/>
      <c r="H950" s="7"/>
    </row>
    <row r="951" ht="17.25" customHeight="1">
      <c r="C951" s="7"/>
      <c r="D951" s="7"/>
      <c r="E951" s="7"/>
      <c r="F951" s="8"/>
      <c r="H951" s="7"/>
    </row>
    <row r="952" ht="17.25" customHeight="1">
      <c r="C952" s="7"/>
      <c r="D952" s="7"/>
      <c r="E952" s="7"/>
      <c r="F952" s="8"/>
      <c r="H952" s="7"/>
    </row>
    <row r="953" ht="17.25" customHeight="1">
      <c r="C953" s="7"/>
      <c r="D953" s="7"/>
      <c r="E953" s="7"/>
      <c r="F953" s="8"/>
      <c r="H953" s="7"/>
    </row>
    <row r="954" ht="17.25" customHeight="1">
      <c r="C954" s="7"/>
      <c r="D954" s="7"/>
      <c r="E954" s="7"/>
      <c r="F954" s="8"/>
      <c r="H954" s="7"/>
    </row>
    <row r="955" ht="17.25" customHeight="1">
      <c r="C955" s="7"/>
      <c r="D955" s="7"/>
      <c r="E955" s="7"/>
      <c r="F955" s="8"/>
      <c r="H955" s="7"/>
    </row>
    <row r="956" ht="17.25" customHeight="1">
      <c r="C956" s="7"/>
      <c r="D956" s="7"/>
      <c r="E956" s="7"/>
      <c r="F956" s="8"/>
      <c r="H956" s="7"/>
    </row>
    <row r="957" ht="17.25" customHeight="1">
      <c r="C957" s="7"/>
      <c r="D957" s="7"/>
      <c r="E957" s="7"/>
      <c r="F957" s="8"/>
      <c r="H957" s="7"/>
    </row>
    <row r="958" ht="17.25" customHeight="1">
      <c r="C958" s="7"/>
      <c r="D958" s="7"/>
      <c r="E958" s="7"/>
      <c r="F958" s="8"/>
      <c r="H958" s="7"/>
    </row>
    <row r="959" ht="17.25" customHeight="1">
      <c r="C959" s="7"/>
      <c r="D959" s="7"/>
      <c r="E959" s="7"/>
      <c r="F959" s="8"/>
      <c r="H959" s="7"/>
    </row>
    <row r="960" ht="17.25" customHeight="1">
      <c r="C960" s="7"/>
      <c r="D960" s="7"/>
      <c r="E960" s="7"/>
      <c r="F960" s="8"/>
      <c r="H960" s="7"/>
    </row>
    <row r="961" ht="17.25" customHeight="1">
      <c r="C961" s="7"/>
      <c r="D961" s="7"/>
      <c r="E961" s="7"/>
      <c r="F961" s="8"/>
      <c r="H961" s="7"/>
    </row>
    <row r="962" ht="17.25" customHeight="1">
      <c r="C962" s="7"/>
      <c r="D962" s="7"/>
      <c r="E962" s="7"/>
      <c r="F962" s="8"/>
      <c r="H962" s="7"/>
    </row>
    <row r="963" ht="17.25" customHeight="1">
      <c r="C963" s="7"/>
      <c r="D963" s="7"/>
      <c r="E963" s="7"/>
      <c r="F963" s="8"/>
      <c r="H963" s="7"/>
    </row>
    <row r="964" ht="17.25" customHeight="1">
      <c r="C964" s="7"/>
      <c r="D964" s="7"/>
      <c r="E964" s="7"/>
      <c r="F964" s="8"/>
      <c r="H964" s="7"/>
    </row>
    <row r="965" ht="17.25" customHeight="1">
      <c r="C965" s="7"/>
      <c r="D965" s="7"/>
      <c r="E965" s="7"/>
      <c r="F965" s="8"/>
      <c r="H965" s="7"/>
    </row>
    <row r="966" ht="17.25" customHeight="1">
      <c r="C966" s="7"/>
      <c r="D966" s="7"/>
      <c r="E966" s="7"/>
      <c r="F966" s="8"/>
      <c r="H966" s="7"/>
    </row>
    <row r="967" ht="17.25" customHeight="1">
      <c r="C967" s="7"/>
      <c r="D967" s="7"/>
      <c r="E967" s="7"/>
      <c r="F967" s="8"/>
      <c r="H967" s="7"/>
    </row>
    <row r="968" ht="17.25" customHeight="1">
      <c r="C968" s="7"/>
      <c r="D968" s="7"/>
      <c r="E968" s="7"/>
      <c r="F968" s="8"/>
      <c r="H968" s="7"/>
    </row>
    <row r="969" ht="17.25" customHeight="1">
      <c r="C969" s="7"/>
      <c r="D969" s="7"/>
      <c r="E969" s="7"/>
      <c r="F969" s="8"/>
      <c r="H969" s="7"/>
    </row>
    <row r="970" ht="17.25" customHeight="1">
      <c r="C970" s="7"/>
      <c r="D970" s="7"/>
      <c r="E970" s="7"/>
      <c r="F970" s="8"/>
      <c r="H970" s="7"/>
    </row>
    <row r="971" ht="17.25" customHeight="1">
      <c r="C971" s="7"/>
      <c r="D971" s="7"/>
      <c r="E971" s="7"/>
      <c r="F971" s="8"/>
      <c r="H971" s="7"/>
    </row>
    <row r="972" ht="17.25" customHeight="1">
      <c r="C972" s="7"/>
      <c r="D972" s="7"/>
      <c r="E972" s="7"/>
      <c r="F972" s="8"/>
      <c r="H972" s="7"/>
    </row>
    <row r="973" ht="17.25" customHeight="1">
      <c r="C973" s="7"/>
      <c r="D973" s="7"/>
      <c r="E973" s="7"/>
      <c r="F973" s="8"/>
      <c r="H973" s="7"/>
    </row>
    <row r="974" ht="17.25" customHeight="1">
      <c r="C974" s="7"/>
      <c r="D974" s="7"/>
      <c r="E974" s="7"/>
      <c r="F974" s="8"/>
      <c r="H974" s="7"/>
    </row>
    <row r="975" ht="17.25" customHeight="1">
      <c r="C975" s="7"/>
      <c r="D975" s="7"/>
      <c r="E975" s="7"/>
      <c r="F975" s="8"/>
      <c r="H975" s="7"/>
    </row>
    <row r="976" ht="17.25" customHeight="1">
      <c r="C976" s="7"/>
      <c r="D976" s="7"/>
      <c r="E976" s="7"/>
      <c r="F976" s="8"/>
      <c r="H976" s="7"/>
    </row>
    <row r="977" ht="17.25" customHeight="1">
      <c r="C977" s="7"/>
      <c r="D977" s="7"/>
      <c r="E977" s="7"/>
      <c r="F977" s="8"/>
      <c r="H977" s="7"/>
    </row>
    <row r="978" ht="17.25" customHeight="1">
      <c r="C978" s="7"/>
      <c r="D978" s="7"/>
      <c r="E978" s="7"/>
      <c r="F978" s="8"/>
      <c r="H978" s="7"/>
    </row>
    <row r="979" ht="17.25" customHeight="1">
      <c r="C979" s="7"/>
      <c r="D979" s="7"/>
      <c r="E979" s="7"/>
      <c r="F979" s="8"/>
      <c r="H979" s="7"/>
    </row>
    <row r="980" ht="17.25" customHeight="1">
      <c r="C980" s="7"/>
      <c r="D980" s="7"/>
      <c r="E980" s="7"/>
      <c r="F980" s="8"/>
      <c r="H980" s="7"/>
    </row>
    <row r="981" ht="17.25" customHeight="1">
      <c r="C981" s="7"/>
      <c r="D981" s="7"/>
      <c r="E981" s="7"/>
      <c r="F981" s="8"/>
      <c r="H981" s="7"/>
    </row>
    <row r="982" ht="17.25" customHeight="1">
      <c r="C982" s="7"/>
      <c r="D982" s="7"/>
      <c r="E982" s="7"/>
      <c r="F982" s="8"/>
      <c r="H982" s="7"/>
    </row>
    <row r="983" ht="17.25" customHeight="1">
      <c r="C983" s="7"/>
      <c r="D983" s="7"/>
      <c r="E983" s="7"/>
      <c r="F983" s="8"/>
      <c r="H983" s="7"/>
    </row>
    <row r="984" ht="17.25" customHeight="1">
      <c r="C984" s="7"/>
      <c r="D984" s="7"/>
      <c r="E984" s="7"/>
      <c r="F984" s="8"/>
      <c r="H984" s="7"/>
    </row>
    <row r="985" ht="17.25" customHeight="1">
      <c r="C985" s="7"/>
      <c r="D985" s="7"/>
      <c r="E985" s="7"/>
      <c r="F985" s="8"/>
      <c r="H985" s="7"/>
    </row>
    <row r="986" ht="17.25" customHeight="1">
      <c r="C986" s="7"/>
      <c r="D986" s="7"/>
      <c r="E986" s="7"/>
      <c r="F986" s="8"/>
      <c r="H986" s="7"/>
    </row>
    <row r="987" ht="17.25" customHeight="1">
      <c r="C987" s="7"/>
      <c r="D987" s="7"/>
      <c r="E987" s="7"/>
      <c r="F987" s="8"/>
      <c r="H987" s="7"/>
    </row>
    <row r="988" ht="17.25" customHeight="1">
      <c r="C988" s="7"/>
      <c r="D988" s="7"/>
      <c r="E988" s="7"/>
      <c r="F988" s="8"/>
      <c r="H988" s="7"/>
    </row>
    <row r="989" ht="17.25" customHeight="1">
      <c r="C989" s="7"/>
      <c r="D989" s="7"/>
      <c r="E989" s="7"/>
      <c r="F989" s="8"/>
      <c r="H989" s="7"/>
    </row>
    <row r="990" ht="17.25" customHeight="1">
      <c r="C990" s="7"/>
      <c r="D990" s="7"/>
      <c r="E990" s="7"/>
      <c r="F990" s="8"/>
      <c r="H990" s="7"/>
    </row>
    <row r="991" ht="17.25" customHeight="1">
      <c r="C991" s="7"/>
      <c r="D991" s="7"/>
      <c r="E991" s="7"/>
      <c r="F991" s="8"/>
      <c r="H991" s="7"/>
    </row>
    <row r="992" ht="17.25" customHeight="1">
      <c r="C992" s="7"/>
      <c r="D992" s="7"/>
      <c r="E992" s="7"/>
      <c r="F992" s="8"/>
      <c r="H992" s="7"/>
    </row>
    <row r="993" ht="17.25" customHeight="1">
      <c r="C993" s="7"/>
      <c r="D993" s="7"/>
      <c r="E993" s="7"/>
      <c r="F993" s="8"/>
      <c r="H993" s="7"/>
    </row>
    <row r="994" ht="17.25" customHeight="1">
      <c r="C994" s="7"/>
      <c r="D994" s="7"/>
      <c r="E994" s="7"/>
      <c r="F994" s="8"/>
      <c r="H994" s="7"/>
    </row>
    <row r="995" ht="17.25" customHeight="1">
      <c r="C995" s="7"/>
      <c r="D995" s="7"/>
      <c r="E995" s="7"/>
      <c r="F995" s="8"/>
      <c r="H995" s="7"/>
    </row>
    <row r="996" ht="17.25" customHeight="1">
      <c r="C996" s="7"/>
      <c r="D996" s="7"/>
      <c r="E996" s="7"/>
      <c r="F996" s="8"/>
      <c r="H996" s="7"/>
    </row>
    <row r="997" ht="17.25" customHeight="1">
      <c r="C997" s="7"/>
      <c r="D997" s="7"/>
      <c r="E997" s="7"/>
      <c r="F997" s="8"/>
      <c r="H997" s="7"/>
    </row>
    <row r="998" ht="17.25" customHeight="1">
      <c r="C998" s="7"/>
      <c r="D998" s="7"/>
      <c r="E998" s="7"/>
      <c r="F998" s="8"/>
      <c r="H998" s="7"/>
    </row>
    <row r="999" ht="17.25" customHeight="1">
      <c r="C999" s="7"/>
      <c r="D999" s="7"/>
      <c r="E999" s="7"/>
      <c r="F999" s="8"/>
      <c r="H999" s="7"/>
    </row>
    <row r="1000" ht="17.25" customHeight="1">
      <c r="C1000" s="7"/>
      <c r="D1000" s="7"/>
      <c r="E1000" s="7"/>
      <c r="F1000" s="8"/>
      <c r="H1000" s="7"/>
    </row>
  </sheetData>
  <autoFilter ref="$B$2:$H$1000">
    <sortState ref="B2:H1000">
      <sortCondition ref="B2:B1000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42.38"/>
    <col customWidth="1" min="3" max="3" width="6.0"/>
    <col customWidth="1" min="4" max="4" width="4.38"/>
    <col customWidth="1" min="5" max="5" width="6.0"/>
    <col customWidth="1" min="6" max="6" width="6.38"/>
    <col customWidth="1" min="7" max="7" width="7.75"/>
    <col customWidth="1" min="8" max="26" width="7.63"/>
  </cols>
  <sheetData>
    <row r="1" ht="17.25" customHeight="1">
      <c r="B1" s="1" t="s">
        <v>0</v>
      </c>
      <c r="C1" s="7"/>
      <c r="D1" s="7"/>
      <c r="E1" s="7"/>
      <c r="G1" s="13"/>
    </row>
    <row r="2" ht="48.0" customHeight="1">
      <c r="B2" s="2" t="s">
        <v>391</v>
      </c>
      <c r="C2" s="9" t="s">
        <v>414</v>
      </c>
      <c r="D2" s="9" t="s">
        <v>415</v>
      </c>
      <c r="E2" s="9" t="s">
        <v>416</v>
      </c>
      <c r="F2" s="2" t="s">
        <v>417</v>
      </c>
      <c r="G2" s="14" t="s">
        <v>418</v>
      </c>
    </row>
    <row r="3" ht="17.25" customHeight="1">
      <c r="B3" s="3" t="s">
        <v>441</v>
      </c>
      <c r="C3" s="7">
        <v>52.0</v>
      </c>
      <c r="D3" s="7">
        <v>51.0</v>
      </c>
      <c r="E3" s="7">
        <v>43.0</v>
      </c>
      <c r="F3" s="15">
        <f t="shared" ref="F3:F19" si="1">E3/D3</f>
        <v>0.8431372549</v>
      </c>
      <c r="G3" s="16">
        <v>1.2030303030303031</v>
      </c>
    </row>
    <row r="4" ht="17.25" customHeight="1">
      <c r="B4" s="3" t="s">
        <v>442</v>
      </c>
      <c r="C4" s="7">
        <v>25.0</v>
      </c>
      <c r="D4" s="7">
        <v>26.0</v>
      </c>
      <c r="E4" s="7">
        <v>19.0</v>
      </c>
      <c r="F4" s="15">
        <f t="shared" si="1"/>
        <v>0.7307692308</v>
      </c>
      <c r="G4" s="16">
        <v>2.075</v>
      </c>
    </row>
    <row r="5" ht="17.25" customHeight="1">
      <c r="B5" s="3" t="s">
        <v>443</v>
      </c>
      <c r="C5" s="7">
        <v>142.0</v>
      </c>
      <c r="D5" s="7">
        <v>142.0</v>
      </c>
      <c r="E5" s="7">
        <v>103.0</v>
      </c>
      <c r="F5" s="15">
        <f t="shared" si="1"/>
        <v>0.7253521127</v>
      </c>
      <c r="G5" s="16">
        <v>1.8434618291761151</v>
      </c>
    </row>
    <row r="6" ht="17.25" customHeight="1">
      <c r="B6" s="3" t="s">
        <v>444</v>
      </c>
      <c r="C6" s="7">
        <v>57.0</v>
      </c>
      <c r="D6" s="7">
        <v>58.0</v>
      </c>
      <c r="E6" s="7">
        <v>41.0</v>
      </c>
      <c r="F6" s="15">
        <f t="shared" si="1"/>
        <v>0.7068965517</v>
      </c>
      <c r="G6" s="16">
        <v>2.144268077601411</v>
      </c>
    </row>
    <row r="7" ht="17.25" customHeight="1">
      <c r="B7" s="3" t="s">
        <v>445</v>
      </c>
      <c r="C7" s="7">
        <v>122.0</v>
      </c>
      <c r="D7" s="7">
        <v>120.0</v>
      </c>
      <c r="E7" s="7">
        <v>87.0</v>
      </c>
      <c r="F7" s="15">
        <f t="shared" si="1"/>
        <v>0.725</v>
      </c>
      <c r="G7" s="16">
        <v>1.9889116731221994</v>
      </c>
    </row>
    <row r="8" ht="17.25" customHeight="1">
      <c r="B8" s="3" t="s">
        <v>446</v>
      </c>
      <c r="C8" s="7">
        <v>61.0</v>
      </c>
      <c r="D8" s="7">
        <v>62.0</v>
      </c>
      <c r="E8" s="7">
        <v>42.0</v>
      </c>
      <c r="F8" s="15">
        <f t="shared" si="1"/>
        <v>0.6774193548</v>
      </c>
      <c r="G8" s="16">
        <v>2.6124557260920898</v>
      </c>
    </row>
    <row r="9" ht="17.25" customHeight="1">
      <c r="B9" s="3" t="s">
        <v>447</v>
      </c>
      <c r="C9" s="7">
        <v>12.0</v>
      </c>
      <c r="D9" s="7">
        <v>12.0</v>
      </c>
      <c r="E9" s="7">
        <v>7.0</v>
      </c>
      <c r="F9" s="15">
        <f t="shared" si="1"/>
        <v>0.5833333333</v>
      </c>
      <c r="G9" s="16">
        <v>1.5</v>
      </c>
    </row>
    <row r="10" ht="17.25" customHeight="1">
      <c r="B10" s="3" t="s">
        <v>448</v>
      </c>
      <c r="C10" s="7">
        <v>105.0</v>
      </c>
      <c r="D10" s="7">
        <v>106.0</v>
      </c>
      <c r="E10" s="7">
        <v>87.0</v>
      </c>
      <c r="F10" s="15">
        <f t="shared" si="1"/>
        <v>0.820754717</v>
      </c>
      <c r="G10" s="16">
        <v>1.8330952380952377</v>
      </c>
    </row>
    <row r="11" ht="17.25" customHeight="1">
      <c r="B11" s="3" t="s">
        <v>449</v>
      </c>
      <c r="C11" s="7">
        <v>375.0</v>
      </c>
      <c r="D11" s="7">
        <v>387.0</v>
      </c>
      <c r="E11" s="7">
        <v>308.0</v>
      </c>
      <c r="F11" s="15">
        <f t="shared" si="1"/>
        <v>0.7958656331</v>
      </c>
      <c r="G11" s="16">
        <v>1.669915273045506</v>
      </c>
    </row>
    <row r="12" ht="17.25" customHeight="1">
      <c r="B12" s="3" t="s">
        <v>450</v>
      </c>
      <c r="C12" s="7">
        <v>38.0</v>
      </c>
      <c r="D12" s="7">
        <v>38.0</v>
      </c>
      <c r="E12" s="7">
        <v>28.0</v>
      </c>
      <c r="F12" s="15">
        <f t="shared" si="1"/>
        <v>0.7368421053</v>
      </c>
      <c r="G12" s="16">
        <v>1.6444444444444446</v>
      </c>
    </row>
    <row r="13" ht="17.25" customHeight="1">
      <c r="B13" s="3" t="s">
        <v>451</v>
      </c>
      <c r="C13" s="7">
        <v>585.0</v>
      </c>
      <c r="D13" s="7">
        <v>594.0</v>
      </c>
      <c r="E13" s="7">
        <v>523.0</v>
      </c>
      <c r="F13" s="15">
        <f t="shared" si="1"/>
        <v>0.8804713805</v>
      </c>
      <c r="G13" s="16">
        <v>1.5041848184948554</v>
      </c>
    </row>
    <row r="14" ht="17.25" customHeight="1">
      <c r="B14" s="3" t="s">
        <v>452</v>
      </c>
      <c r="C14" s="7">
        <v>79.0</v>
      </c>
      <c r="D14" s="7">
        <v>80.0</v>
      </c>
      <c r="E14" s="7">
        <v>75.0</v>
      </c>
      <c r="F14" s="15">
        <f t="shared" si="1"/>
        <v>0.9375</v>
      </c>
      <c r="G14" s="16">
        <v>1.136904761904762</v>
      </c>
    </row>
    <row r="15" ht="17.25" customHeight="1">
      <c r="B15" s="3" t="s">
        <v>453</v>
      </c>
      <c r="C15" s="7">
        <v>21.0</v>
      </c>
      <c r="D15" s="7">
        <v>21.0</v>
      </c>
      <c r="E15" s="7">
        <v>18.0</v>
      </c>
      <c r="F15" s="15">
        <f t="shared" si="1"/>
        <v>0.8571428571</v>
      </c>
      <c r="G15" s="16">
        <v>1.33</v>
      </c>
    </row>
    <row r="16" ht="17.25" customHeight="1">
      <c r="B16" s="3" t="s">
        <v>454</v>
      </c>
      <c r="C16" s="7">
        <v>345.0</v>
      </c>
      <c r="D16" s="7">
        <v>352.0</v>
      </c>
      <c r="E16" s="7">
        <v>295.0</v>
      </c>
      <c r="F16" s="15">
        <f t="shared" si="1"/>
        <v>0.8380681818</v>
      </c>
      <c r="G16" s="16">
        <v>1.5393985310183451</v>
      </c>
    </row>
    <row r="17" ht="17.25" customHeight="1">
      <c r="B17" s="3" t="s">
        <v>455</v>
      </c>
      <c r="C17" s="7">
        <v>106.0</v>
      </c>
      <c r="D17" s="7">
        <v>109.0</v>
      </c>
      <c r="E17" s="7">
        <v>92.0</v>
      </c>
      <c r="F17" s="15">
        <f t="shared" si="1"/>
        <v>0.8440366972</v>
      </c>
      <c r="G17" s="16">
        <v>1.3883229617604618</v>
      </c>
    </row>
    <row r="18" ht="17.25" customHeight="1">
      <c r="B18" s="3" t="s">
        <v>456</v>
      </c>
      <c r="C18" s="7">
        <v>188.0</v>
      </c>
      <c r="D18" s="7">
        <v>214.0</v>
      </c>
      <c r="E18" s="7">
        <v>198.0</v>
      </c>
      <c r="F18" s="15">
        <f t="shared" si="1"/>
        <v>0.9252336449</v>
      </c>
      <c r="G18" s="16">
        <v>1.1377499484642342</v>
      </c>
    </row>
    <row r="19" ht="17.25" customHeight="1">
      <c r="B19" s="3" t="s">
        <v>457</v>
      </c>
      <c r="C19" s="7">
        <v>43.0</v>
      </c>
      <c r="D19" s="7">
        <v>42.0</v>
      </c>
      <c r="E19" s="7">
        <v>38.0</v>
      </c>
      <c r="F19" s="15">
        <f t="shared" si="1"/>
        <v>0.9047619048</v>
      </c>
      <c r="G19" s="16">
        <v>1.3333333333333335</v>
      </c>
    </row>
    <row r="20" ht="17.25" customHeight="1">
      <c r="C20" s="7"/>
      <c r="D20" s="7"/>
      <c r="E20" s="7"/>
      <c r="G20" s="13"/>
    </row>
    <row r="21" ht="17.25" customHeight="1">
      <c r="C21" s="7"/>
      <c r="D21" s="7"/>
      <c r="E21" s="7"/>
      <c r="G21" s="13"/>
    </row>
    <row r="22" ht="17.25" customHeight="1">
      <c r="C22" s="7"/>
      <c r="D22" s="7"/>
      <c r="E22" s="7"/>
      <c r="G22" s="13"/>
    </row>
    <row r="23" ht="17.25" customHeight="1">
      <c r="C23" s="7"/>
      <c r="D23" s="7"/>
      <c r="E23" s="7"/>
      <c r="G23" s="13"/>
    </row>
    <row r="24" ht="17.25" customHeight="1">
      <c r="C24" s="7"/>
      <c r="D24" s="7"/>
      <c r="E24" s="7"/>
      <c r="G24" s="13"/>
    </row>
    <row r="25" ht="17.25" customHeight="1">
      <c r="C25" s="7"/>
      <c r="D25" s="7"/>
      <c r="E25" s="7"/>
      <c r="G25" s="13"/>
    </row>
    <row r="26" ht="17.25" customHeight="1">
      <c r="C26" s="7"/>
      <c r="D26" s="7"/>
      <c r="E26" s="7"/>
      <c r="G26" s="13"/>
    </row>
    <row r="27" ht="17.25" customHeight="1">
      <c r="C27" s="7"/>
      <c r="D27" s="7"/>
      <c r="E27" s="7"/>
      <c r="G27" s="13"/>
    </row>
    <row r="28" ht="17.25" customHeight="1">
      <c r="C28" s="7"/>
      <c r="D28" s="7"/>
      <c r="E28" s="7"/>
      <c r="G28" s="13"/>
    </row>
    <row r="29" ht="17.25" customHeight="1">
      <c r="C29" s="7"/>
      <c r="D29" s="7"/>
      <c r="E29" s="7"/>
      <c r="G29" s="13"/>
    </row>
    <row r="30" ht="17.25" customHeight="1">
      <c r="C30" s="7"/>
      <c r="D30" s="7"/>
      <c r="E30" s="7"/>
      <c r="G30" s="13"/>
    </row>
    <row r="31" ht="17.25" customHeight="1">
      <c r="C31" s="7"/>
      <c r="D31" s="7"/>
      <c r="E31" s="7"/>
      <c r="G31" s="13"/>
    </row>
    <row r="32" ht="17.25" customHeight="1">
      <c r="C32" s="7"/>
      <c r="D32" s="7"/>
      <c r="E32" s="7"/>
      <c r="G32" s="13"/>
    </row>
    <row r="33" ht="17.25" customHeight="1">
      <c r="C33" s="7"/>
      <c r="D33" s="7"/>
      <c r="E33" s="7"/>
      <c r="G33" s="13"/>
    </row>
    <row r="34" ht="17.25" customHeight="1">
      <c r="C34" s="7"/>
      <c r="D34" s="7"/>
      <c r="E34" s="7"/>
      <c r="G34" s="13"/>
    </row>
    <row r="35" ht="17.25" customHeight="1">
      <c r="C35" s="7"/>
      <c r="D35" s="7"/>
      <c r="E35" s="7"/>
      <c r="G35" s="13"/>
    </row>
    <row r="36" ht="17.25" customHeight="1">
      <c r="C36" s="7"/>
      <c r="D36" s="7"/>
      <c r="E36" s="7"/>
      <c r="G36" s="13"/>
    </row>
    <row r="37" ht="17.25" customHeight="1">
      <c r="C37" s="7"/>
      <c r="D37" s="7"/>
      <c r="E37" s="7"/>
      <c r="G37" s="13"/>
    </row>
    <row r="38" ht="17.25" customHeight="1">
      <c r="C38" s="7"/>
      <c r="D38" s="7"/>
      <c r="E38" s="7"/>
      <c r="G38" s="13"/>
    </row>
    <row r="39" ht="17.25" customHeight="1">
      <c r="C39" s="7"/>
      <c r="D39" s="7"/>
      <c r="E39" s="7"/>
      <c r="G39" s="13"/>
    </row>
    <row r="40" ht="17.25" customHeight="1">
      <c r="C40" s="7"/>
      <c r="D40" s="7"/>
      <c r="E40" s="7"/>
      <c r="G40" s="13"/>
    </row>
    <row r="41" ht="17.25" customHeight="1">
      <c r="C41" s="7"/>
      <c r="D41" s="7"/>
      <c r="E41" s="7"/>
      <c r="G41" s="13"/>
    </row>
    <row r="42" ht="17.25" customHeight="1">
      <c r="C42" s="7"/>
      <c r="D42" s="7"/>
      <c r="E42" s="7"/>
      <c r="G42" s="13"/>
    </row>
    <row r="43" ht="17.25" customHeight="1">
      <c r="C43" s="7"/>
      <c r="D43" s="7"/>
      <c r="E43" s="7"/>
      <c r="G43" s="13"/>
    </row>
    <row r="44" ht="17.25" customHeight="1">
      <c r="C44" s="7"/>
      <c r="D44" s="7"/>
      <c r="E44" s="7"/>
      <c r="G44" s="13"/>
    </row>
    <row r="45" ht="17.25" customHeight="1">
      <c r="C45" s="7"/>
      <c r="D45" s="7"/>
      <c r="E45" s="7"/>
      <c r="G45" s="13"/>
    </row>
    <row r="46" ht="17.25" customHeight="1">
      <c r="C46" s="7"/>
      <c r="D46" s="7"/>
      <c r="E46" s="7"/>
      <c r="G46" s="13"/>
    </row>
    <row r="47" ht="17.25" customHeight="1">
      <c r="C47" s="7"/>
      <c r="D47" s="7"/>
      <c r="E47" s="7"/>
      <c r="G47" s="13"/>
    </row>
    <row r="48" ht="17.25" customHeight="1">
      <c r="C48" s="7"/>
      <c r="D48" s="7"/>
      <c r="E48" s="7"/>
      <c r="G48" s="13"/>
    </row>
    <row r="49" ht="17.25" customHeight="1">
      <c r="C49" s="7"/>
      <c r="D49" s="7"/>
      <c r="E49" s="7"/>
      <c r="G49" s="13"/>
    </row>
    <row r="50" ht="17.25" customHeight="1">
      <c r="C50" s="7"/>
      <c r="D50" s="7"/>
      <c r="E50" s="7"/>
      <c r="G50" s="13"/>
    </row>
    <row r="51" ht="17.25" customHeight="1">
      <c r="C51" s="7"/>
      <c r="D51" s="7"/>
      <c r="E51" s="7"/>
      <c r="G51" s="13"/>
    </row>
    <row r="52" ht="17.25" customHeight="1">
      <c r="C52" s="7"/>
      <c r="D52" s="7"/>
      <c r="E52" s="7"/>
      <c r="G52" s="13"/>
    </row>
    <row r="53" ht="17.25" customHeight="1">
      <c r="C53" s="7"/>
      <c r="D53" s="7"/>
      <c r="E53" s="7"/>
      <c r="G53" s="13"/>
    </row>
    <row r="54" ht="17.25" customHeight="1">
      <c r="C54" s="7"/>
      <c r="D54" s="7"/>
      <c r="E54" s="7"/>
      <c r="G54" s="13"/>
    </row>
    <row r="55" ht="17.25" customHeight="1">
      <c r="C55" s="7"/>
      <c r="D55" s="7"/>
      <c r="E55" s="7"/>
      <c r="G55" s="13"/>
    </row>
    <row r="56" ht="17.25" customHeight="1">
      <c r="C56" s="7"/>
      <c r="D56" s="7"/>
      <c r="E56" s="7"/>
      <c r="G56" s="13"/>
    </row>
    <row r="57" ht="17.25" customHeight="1">
      <c r="C57" s="7"/>
      <c r="D57" s="7"/>
      <c r="E57" s="7"/>
      <c r="G57" s="13"/>
    </row>
    <row r="58" ht="17.25" customHeight="1">
      <c r="C58" s="7"/>
      <c r="D58" s="7"/>
      <c r="E58" s="7"/>
      <c r="G58" s="13"/>
    </row>
    <row r="59" ht="17.25" customHeight="1">
      <c r="C59" s="7"/>
      <c r="D59" s="7"/>
      <c r="E59" s="7"/>
      <c r="G59" s="13"/>
    </row>
    <row r="60" ht="17.25" customHeight="1">
      <c r="C60" s="7"/>
      <c r="D60" s="7"/>
      <c r="E60" s="7"/>
      <c r="G60" s="13"/>
    </row>
    <row r="61" ht="17.25" customHeight="1">
      <c r="C61" s="7"/>
      <c r="D61" s="7"/>
      <c r="E61" s="7"/>
      <c r="G61" s="13"/>
    </row>
    <row r="62" ht="17.25" customHeight="1">
      <c r="C62" s="7"/>
      <c r="D62" s="7"/>
      <c r="E62" s="7"/>
      <c r="G62" s="13"/>
    </row>
    <row r="63" ht="17.25" customHeight="1">
      <c r="C63" s="7"/>
      <c r="D63" s="7"/>
      <c r="E63" s="7"/>
      <c r="G63" s="13"/>
    </row>
    <row r="64" ht="17.25" customHeight="1">
      <c r="C64" s="7"/>
      <c r="D64" s="7"/>
      <c r="E64" s="7"/>
      <c r="G64" s="13"/>
    </row>
    <row r="65" ht="17.25" customHeight="1">
      <c r="C65" s="7"/>
      <c r="D65" s="7"/>
      <c r="E65" s="7"/>
      <c r="G65" s="13"/>
    </row>
    <row r="66" ht="17.25" customHeight="1">
      <c r="C66" s="7"/>
      <c r="D66" s="7"/>
      <c r="E66" s="7"/>
      <c r="G66" s="13"/>
    </row>
    <row r="67" ht="17.25" customHeight="1">
      <c r="C67" s="7"/>
      <c r="D67" s="7"/>
      <c r="E67" s="7"/>
      <c r="G67" s="13"/>
    </row>
    <row r="68" ht="17.25" customHeight="1">
      <c r="C68" s="7"/>
      <c r="D68" s="7"/>
      <c r="E68" s="7"/>
      <c r="G68" s="13"/>
    </row>
    <row r="69" ht="17.25" customHeight="1">
      <c r="C69" s="7"/>
      <c r="D69" s="7"/>
      <c r="E69" s="7"/>
      <c r="G69" s="13"/>
    </row>
    <row r="70" ht="17.25" customHeight="1">
      <c r="C70" s="7"/>
      <c r="D70" s="7"/>
      <c r="E70" s="7"/>
      <c r="G70" s="13"/>
    </row>
    <row r="71" ht="17.25" customHeight="1">
      <c r="C71" s="7"/>
      <c r="D71" s="7"/>
      <c r="E71" s="7"/>
      <c r="G71" s="13"/>
    </row>
    <row r="72" ht="17.25" customHeight="1">
      <c r="C72" s="7"/>
      <c r="D72" s="7"/>
      <c r="E72" s="7"/>
      <c r="G72" s="13"/>
    </row>
    <row r="73" ht="17.25" customHeight="1">
      <c r="C73" s="7"/>
      <c r="D73" s="7"/>
      <c r="E73" s="7"/>
      <c r="G73" s="13"/>
    </row>
    <row r="74" ht="17.25" customHeight="1">
      <c r="C74" s="7"/>
      <c r="D74" s="7"/>
      <c r="E74" s="7"/>
      <c r="G74" s="13"/>
    </row>
    <row r="75" ht="17.25" customHeight="1">
      <c r="C75" s="7"/>
      <c r="D75" s="7"/>
      <c r="E75" s="7"/>
      <c r="G75" s="13"/>
    </row>
    <row r="76" ht="17.25" customHeight="1">
      <c r="C76" s="7"/>
      <c r="D76" s="7"/>
      <c r="E76" s="7"/>
      <c r="G76" s="13"/>
    </row>
    <row r="77" ht="17.25" customHeight="1">
      <c r="C77" s="7"/>
      <c r="D77" s="7"/>
      <c r="E77" s="7"/>
      <c r="G77" s="13"/>
    </row>
    <row r="78" ht="17.25" customHeight="1">
      <c r="C78" s="7"/>
      <c r="D78" s="7"/>
      <c r="E78" s="7"/>
      <c r="G78" s="13"/>
    </row>
    <row r="79" ht="17.25" customHeight="1">
      <c r="C79" s="7"/>
      <c r="D79" s="7"/>
      <c r="E79" s="7"/>
      <c r="G79" s="13"/>
    </row>
    <row r="80" ht="17.25" customHeight="1">
      <c r="C80" s="7"/>
      <c r="D80" s="7"/>
      <c r="E80" s="7"/>
      <c r="G80" s="13"/>
    </row>
    <row r="81" ht="17.25" customHeight="1">
      <c r="C81" s="7"/>
      <c r="D81" s="7"/>
      <c r="E81" s="7"/>
      <c r="G81" s="13"/>
    </row>
    <row r="82" ht="17.25" customHeight="1">
      <c r="C82" s="7"/>
      <c r="D82" s="7"/>
      <c r="E82" s="7"/>
      <c r="G82" s="13"/>
    </row>
    <row r="83" ht="17.25" customHeight="1">
      <c r="C83" s="7"/>
      <c r="D83" s="7"/>
      <c r="E83" s="7"/>
      <c r="G83" s="13"/>
    </row>
    <row r="84" ht="17.25" customHeight="1">
      <c r="C84" s="7"/>
      <c r="D84" s="7"/>
      <c r="E84" s="7"/>
      <c r="G84" s="13"/>
    </row>
    <row r="85" ht="17.25" customHeight="1">
      <c r="C85" s="7"/>
      <c r="D85" s="7"/>
      <c r="E85" s="7"/>
      <c r="G85" s="13"/>
    </row>
    <row r="86" ht="17.25" customHeight="1">
      <c r="C86" s="7"/>
      <c r="D86" s="7"/>
      <c r="E86" s="7"/>
      <c r="G86" s="13"/>
    </row>
    <row r="87" ht="17.25" customHeight="1">
      <c r="C87" s="7"/>
      <c r="D87" s="7"/>
      <c r="E87" s="7"/>
      <c r="G87" s="13"/>
    </row>
    <row r="88" ht="17.25" customHeight="1">
      <c r="C88" s="7"/>
      <c r="D88" s="7"/>
      <c r="E88" s="7"/>
      <c r="G88" s="13"/>
    </row>
    <row r="89" ht="17.25" customHeight="1">
      <c r="C89" s="7"/>
      <c r="D89" s="7"/>
      <c r="E89" s="7"/>
      <c r="G89" s="13"/>
    </row>
    <row r="90" ht="17.25" customHeight="1">
      <c r="C90" s="7"/>
      <c r="D90" s="7"/>
      <c r="E90" s="7"/>
      <c r="G90" s="13"/>
    </row>
    <row r="91" ht="17.25" customHeight="1">
      <c r="C91" s="7"/>
      <c r="D91" s="7"/>
      <c r="E91" s="7"/>
      <c r="G91" s="13"/>
    </row>
    <row r="92" ht="17.25" customHeight="1">
      <c r="C92" s="7"/>
      <c r="D92" s="7"/>
      <c r="E92" s="7"/>
      <c r="G92" s="13"/>
    </row>
    <row r="93" ht="17.25" customHeight="1">
      <c r="C93" s="7"/>
      <c r="D93" s="7"/>
      <c r="E93" s="7"/>
      <c r="G93" s="13"/>
    </row>
    <row r="94" ht="17.25" customHeight="1">
      <c r="C94" s="7"/>
      <c r="D94" s="7"/>
      <c r="E94" s="7"/>
      <c r="G94" s="13"/>
    </row>
    <row r="95" ht="17.25" customHeight="1">
      <c r="C95" s="7"/>
      <c r="D95" s="7"/>
      <c r="E95" s="7"/>
      <c r="G95" s="13"/>
    </row>
    <row r="96" ht="17.25" customHeight="1">
      <c r="C96" s="7"/>
      <c r="D96" s="7"/>
      <c r="E96" s="7"/>
      <c r="G96" s="13"/>
    </row>
    <row r="97" ht="17.25" customHeight="1">
      <c r="C97" s="7"/>
      <c r="D97" s="7"/>
      <c r="E97" s="7"/>
      <c r="G97" s="13"/>
    </row>
    <row r="98" ht="17.25" customHeight="1">
      <c r="C98" s="7"/>
      <c r="D98" s="7"/>
      <c r="E98" s="7"/>
      <c r="G98" s="13"/>
    </row>
    <row r="99" ht="17.25" customHeight="1">
      <c r="C99" s="7"/>
      <c r="D99" s="7"/>
      <c r="E99" s="7"/>
      <c r="G99" s="13"/>
    </row>
    <row r="100" ht="17.25" customHeight="1">
      <c r="C100" s="7"/>
      <c r="D100" s="7"/>
      <c r="E100" s="7"/>
      <c r="G100" s="13"/>
    </row>
    <row r="101" ht="17.25" customHeight="1">
      <c r="C101" s="7"/>
      <c r="D101" s="7"/>
      <c r="E101" s="7"/>
      <c r="G101" s="13"/>
    </row>
    <row r="102" ht="17.25" customHeight="1">
      <c r="C102" s="7"/>
      <c r="D102" s="7"/>
      <c r="E102" s="7"/>
      <c r="G102" s="13"/>
    </row>
    <row r="103" ht="17.25" customHeight="1">
      <c r="C103" s="7"/>
      <c r="D103" s="7"/>
      <c r="E103" s="7"/>
      <c r="G103" s="13"/>
    </row>
    <row r="104" ht="17.25" customHeight="1">
      <c r="C104" s="7"/>
      <c r="D104" s="7"/>
      <c r="E104" s="7"/>
      <c r="G104" s="13"/>
    </row>
    <row r="105" ht="17.25" customHeight="1">
      <c r="C105" s="7"/>
      <c r="D105" s="7"/>
      <c r="E105" s="7"/>
      <c r="G105" s="13"/>
    </row>
    <row r="106" ht="17.25" customHeight="1">
      <c r="C106" s="7"/>
      <c r="D106" s="7"/>
      <c r="E106" s="7"/>
      <c r="G106" s="13"/>
    </row>
    <row r="107" ht="17.25" customHeight="1">
      <c r="C107" s="7"/>
      <c r="D107" s="7"/>
      <c r="E107" s="7"/>
      <c r="G107" s="13"/>
    </row>
    <row r="108" ht="17.25" customHeight="1">
      <c r="C108" s="7"/>
      <c r="D108" s="7"/>
      <c r="E108" s="7"/>
      <c r="G108" s="13"/>
    </row>
    <row r="109" ht="17.25" customHeight="1">
      <c r="C109" s="7"/>
      <c r="D109" s="7"/>
      <c r="E109" s="7"/>
      <c r="G109" s="13"/>
    </row>
    <row r="110" ht="17.25" customHeight="1">
      <c r="C110" s="7"/>
      <c r="D110" s="7"/>
      <c r="E110" s="7"/>
      <c r="G110" s="13"/>
    </row>
    <row r="111" ht="17.25" customHeight="1">
      <c r="C111" s="7"/>
      <c r="D111" s="7"/>
      <c r="E111" s="7"/>
      <c r="G111" s="13"/>
    </row>
    <row r="112" ht="17.25" customHeight="1">
      <c r="C112" s="7"/>
      <c r="D112" s="7"/>
      <c r="E112" s="7"/>
      <c r="G112" s="13"/>
    </row>
    <row r="113" ht="17.25" customHeight="1">
      <c r="C113" s="7"/>
      <c r="D113" s="7"/>
      <c r="E113" s="7"/>
      <c r="G113" s="13"/>
    </row>
    <row r="114" ht="17.25" customHeight="1">
      <c r="C114" s="7"/>
      <c r="D114" s="7"/>
      <c r="E114" s="7"/>
      <c r="G114" s="13"/>
    </row>
    <row r="115" ht="17.25" customHeight="1">
      <c r="C115" s="7"/>
      <c r="D115" s="7"/>
      <c r="E115" s="7"/>
      <c r="G115" s="13"/>
    </row>
    <row r="116" ht="17.25" customHeight="1">
      <c r="C116" s="7"/>
      <c r="D116" s="7"/>
      <c r="E116" s="7"/>
      <c r="G116" s="13"/>
    </row>
    <row r="117" ht="17.25" customHeight="1">
      <c r="C117" s="7"/>
      <c r="D117" s="7"/>
      <c r="E117" s="7"/>
      <c r="G117" s="13"/>
    </row>
    <row r="118" ht="17.25" customHeight="1">
      <c r="C118" s="7"/>
      <c r="D118" s="7"/>
      <c r="E118" s="7"/>
      <c r="G118" s="13"/>
    </row>
    <row r="119" ht="17.25" customHeight="1">
      <c r="C119" s="7"/>
      <c r="D119" s="7"/>
      <c r="E119" s="7"/>
      <c r="G119" s="13"/>
    </row>
    <row r="120" ht="17.25" customHeight="1">
      <c r="C120" s="7"/>
      <c r="D120" s="7"/>
      <c r="E120" s="7"/>
      <c r="G120" s="13"/>
    </row>
    <row r="121" ht="17.25" customHeight="1">
      <c r="C121" s="7"/>
      <c r="D121" s="7"/>
      <c r="E121" s="7"/>
      <c r="G121" s="13"/>
    </row>
    <row r="122" ht="17.25" customHeight="1">
      <c r="C122" s="7"/>
      <c r="D122" s="7"/>
      <c r="E122" s="7"/>
      <c r="G122" s="13"/>
    </row>
    <row r="123" ht="17.25" customHeight="1">
      <c r="C123" s="7"/>
      <c r="D123" s="7"/>
      <c r="E123" s="7"/>
      <c r="G123" s="13"/>
    </row>
    <row r="124" ht="17.25" customHeight="1">
      <c r="C124" s="7"/>
      <c r="D124" s="7"/>
      <c r="E124" s="7"/>
      <c r="G124" s="13"/>
    </row>
    <row r="125" ht="17.25" customHeight="1">
      <c r="C125" s="7"/>
      <c r="D125" s="7"/>
      <c r="E125" s="7"/>
      <c r="G125" s="13"/>
    </row>
    <row r="126" ht="17.25" customHeight="1">
      <c r="C126" s="7"/>
      <c r="D126" s="7"/>
      <c r="E126" s="7"/>
      <c r="G126" s="13"/>
    </row>
    <row r="127" ht="17.25" customHeight="1">
      <c r="C127" s="7"/>
      <c r="D127" s="7"/>
      <c r="E127" s="7"/>
      <c r="G127" s="13"/>
    </row>
    <row r="128" ht="17.25" customHeight="1">
      <c r="C128" s="7"/>
      <c r="D128" s="7"/>
      <c r="E128" s="7"/>
      <c r="G128" s="13"/>
    </row>
    <row r="129" ht="17.25" customHeight="1">
      <c r="C129" s="7"/>
      <c r="D129" s="7"/>
      <c r="E129" s="7"/>
      <c r="G129" s="13"/>
    </row>
    <row r="130" ht="17.25" customHeight="1">
      <c r="C130" s="7"/>
      <c r="D130" s="7"/>
      <c r="E130" s="7"/>
      <c r="G130" s="13"/>
    </row>
    <row r="131" ht="17.25" customHeight="1">
      <c r="C131" s="7"/>
      <c r="D131" s="7"/>
      <c r="E131" s="7"/>
      <c r="G131" s="13"/>
    </row>
    <row r="132" ht="17.25" customHeight="1">
      <c r="C132" s="7"/>
      <c r="D132" s="7"/>
      <c r="E132" s="7"/>
      <c r="G132" s="13"/>
    </row>
    <row r="133" ht="17.25" customHeight="1">
      <c r="C133" s="7"/>
      <c r="D133" s="7"/>
      <c r="E133" s="7"/>
      <c r="G133" s="13"/>
    </row>
    <row r="134" ht="17.25" customHeight="1">
      <c r="C134" s="7"/>
      <c r="D134" s="7"/>
      <c r="E134" s="7"/>
      <c r="G134" s="13"/>
    </row>
    <row r="135" ht="17.25" customHeight="1">
      <c r="C135" s="7"/>
      <c r="D135" s="7"/>
      <c r="E135" s="7"/>
      <c r="G135" s="13"/>
    </row>
    <row r="136" ht="17.25" customHeight="1">
      <c r="C136" s="7"/>
      <c r="D136" s="7"/>
      <c r="E136" s="7"/>
      <c r="G136" s="13"/>
    </row>
    <row r="137" ht="17.25" customHeight="1">
      <c r="C137" s="7"/>
      <c r="D137" s="7"/>
      <c r="E137" s="7"/>
      <c r="G137" s="13"/>
    </row>
    <row r="138" ht="17.25" customHeight="1">
      <c r="C138" s="7"/>
      <c r="D138" s="7"/>
      <c r="E138" s="7"/>
      <c r="G138" s="13"/>
    </row>
    <row r="139" ht="17.25" customHeight="1">
      <c r="C139" s="7"/>
      <c r="D139" s="7"/>
      <c r="E139" s="7"/>
      <c r="G139" s="13"/>
    </row>
    <row r="140" ht="17.25" customHeight="1">
      <c r="C140" s="7"/>
      <c r="D140" s="7"/>
      <c r="E140" s="7"/>
      <c r="G140" s="13"/>
    </row>
    <row r="141" ht="17.25" customHeight="1">
      <c r="C141" s="7"/>
      <c r="D141" s="7"/>
      <c r="E141" s="7"/>
      <c r="G141" s="13"/>
    </row>
    <row r="142" ht="17.25" customHeight="1">
      <c r="C142" s="7"/>
      <c r="D142" s="7"/>
      <c r="E142" s="7"/>
      <c r="G142" s="13"/>
    </row>
    <row r="143" ht="17.25" customHeight="1">
      <c r="C143" s="7"/>
      <c r="D143" s="7"/>
      <c r="E143" s="7"/>
      <c r="G143" s="13"/>
    </row>
    <row r="144" ht="17.25" customHeight="1">
      <c r="C144" s="7"/>
      <c r="D144" s="7"/>
      <c r="E144" s="7"/>
      <c r="G144" s="13"/>
    </row>
    <row r="145" ht="17.25" customHeight="1">
      <c r="C145" s="7"/>
      <c r="D145" s="7"/>
      <c r="E145" s="7"/>
      <c r="G145" s="13"/>
    </row>
    <row r="146" ht="17.25" customHeight="1">
      <c r="C146" s="7"/>
      <c r="D146" s="7"/>
      <c r="E146" s="7"/>
      <c r="G146" s="13"/>
    </row>
    <row r="147" ht="17.25" customHeight="1">
      <c r="C147" s="7"/>
      <c r="D147" s="7"/>
      <c r="E147" s="7"/>
      <c r="G147" s="13"/>
    </row>
    <row r="148" ht="17.25" customHeight="1">
      <c r="C148" s="7"/>
      <c r="D148" s="7"/>
      <c r="E148" s="7"/>
      <c r="G148" s="13"/>
    </row>
    <row r="149" ht="17.25" customHeight="1">
      <c r="C149" s="7"/>
      <c r="D149" s="7"/>
      <c r="E149" s="7"/>
      <c r="G149" s="13"/>
    </row>
    <row r="150" ht="17.25" customHeight="1">
      <c r="C150" s="7"/>
      <c r="D150" s="7"/>
      <c r="E150" s="7"/>
      <c r="G150" s="13"/>
    </row>
    <row r="151" ht="17.25" customHeight="1">
      <c r="C151" s="7"/>
      <c r="D151" s="7"/>
      <c r="E151" s="7"/>
      <c r="G151" s="13"/>
    </row>
    <row r="152" ht="17.25" customHeight="1">
      <c r="C152" s="7"/>
      <c r="D152" s="7"/>
      <c r="E152" s="7"/>
      <c r="G152" s="13"/>
    </row>
    <row r="153" ht="17.25" customHeight="1">
      <c r="C153" s="7"/>
      <c r="D153" s="7"/>
      <c r="E153" s="7"/>
      <c r="G153" s="13"/>
    </row>
    <row r="154" ht="17.25" customHeight="1">
      <c r="C154" s="7"/>
      <c r="D154" s="7"/>
      <c r="E154" s="7"/>
      <c r="G154" s="13"/>
    </row>
    <row r="155" ht="17.25" customHeight="1">
      <c r="C155" s="7"/>
      <c r="D155" s="7"/>
      <c r="E155" s="7"/>
      <c r="G155" s="13"/>
    </row>
    <row r="156" ht="17.25" customHeight="1">
      <c r="C156" s="7"/>
      <c r="D156" s="7"/>
      <c r="E156" s="7"/>
      <c r="G156" s="13"/>
    </row>
    <row r="157" ht="17.25" customHeight="1">
      <c r="C157" s="7"/>
      <c r="D157" s="7"/>
      <c r="E157" s="7"/>
      <c r="G157" s="13"/>
    </row>
    <row r="158" ht="17.25" customHeight="1">
      <c r="C158" s="7"/>
      <c r="D158" s="7"/>
      <c r="E158" s="7"/>
      <c r="G158" s="13"/>
    </row>
    <row r="159" ht="17.25" customHeight="1">
      <c r="C159" s="7"/>
      <c r="D159" s="7"/>
      <c r="E159" s="7"/>
      <c r="G159" s="13"/>
    </row>
    <row r="160" ht="17.25" customHeight="1">
      <c r="C160" s="7"/>
      <c r="D160" s="7"/>
      <c r="E160" s="7"/>
      <c r="G160" s="13"/>
    </row>
    <row r="161" ht="17.25" customHeight="1">
      <c r="C161" s="7"/>
      <c r="D161" s="7"/>
      <c r="E161" s="7"/>
      <c r="G161" s="13"/>
    </row>
    <row r="162" ht="17.25" customHeight="1">
      <c r="C162" s="7"/>
      <c r="D162" s="7"/>
      <c r="E162" s="7"/>
      <c r="G162" s="13"/>
    </row>
    <row r="163" ht="17.25" customHeight="1">
      <c r="C163" s="7"/>
      <c r="D163" s="7"/>
      <c r="E163" s="7"/>
      <c r="G163" s="13"/>
    </row>
    <row r="164" ht="17.25" customHeight="1">
      <c r="C164" s="7"/>
      <c r="D164" s="7"/>
      <c r="E164" s="7"/>
      <c r="G164" s="13"/>
    </row>
    <row r="165" ht="17.25" customHeight="1">
      <c r="C165" s="7"/>
      <c r="D165" s="7"/>
      <c r="E165" s="7"/>
      <c r="G165" s="13"/>
    </row>
    <row r="166" ht="17.25" customHeight="1">
      <c r="C166" s="7"/>
      <c r="D166" s="7"/>
      <c r="E166" s="7"/>
      <c r="G166" s="13"/>
    </row>
    <row r="167" ht="17.25" customHeight="1">
      <c r="C167" s="7"/>
      <c r="D167" s="7"/>
      <c r="E167" s="7"/>
      <c r="G167" s="13"/>
    </row>
    <row r="168" ht="17.25" customHeight="1">
      <c r="C168" s="7"/>
      <c r="D168" s="7"/>
      <c r="E168" s="7"/>
      <c r="G168" s="13"/>
    </row>
    <row r="169" ht="17.25" customHeight="1">
      <c r="C169" s="7"/>
      <c r="D169" s="7"/>
      <c r="E169" s="7"/>
      <c r="G169" s="13"/>
    </row>
    <row r="170" ht="17.25" customHeight="1">
      <c r="C170" s="7"/>
      <c r="D170" s="7"/>
      <c r="E170" s="7"/>
      <c r="G170" s="13"/>
    </row>
    <row r="171" ht="17.25" customHeight="1">
      <c r="C171" s="7"/>
      <c r="D171" s="7"/>
      <c r="E171" s="7"/>
      <c r="G171" s="13"/>
    </row>
    <row r="172" ht="17.25" customHeight="1">
      <c r="C172" s="7"/>
      <c r="D172" s="7"/>
      <c r="E172" s="7"/>
      <c r="G172" s="13"/>
    </row>
    <row r="173" ht="17.25" customHeight="1">
      <c r="C173" s="7"/>
      <c r="D173" s="7"/>
      <c r="E173" s="7"/>
      <c r="G173" s="13"/>
    </row>
    <row r="174" ht="17.25" customHeight="1">
      <c r="C174" s="7"/>
      <c r="D174" s="7"/>
      <c r="E174" s="7"/>
      <c r="G174" s="13"/>
    </row>
    <row r="175" ht="17.25" customHeight="1">
      <c r="C175" s="7"/>
      <c r="D175" s="7"/>
      <c r="E175" s="7"/>
      <c r="G175" s="13"/>
    </row>
    <row r="176" ht="17.25" customHeight="1">
      <c r="C176" s="7"/>
      <c r="D176" s="7"/>
      <c r="E176" s="7"/>
      <c r="G176" s="13"/>
    </row>
    <row r="177" ht="17.25" customHeight="1">
      <c r="C177" s="7"/>
      <c r="D177" s="7"/>
      <c r="E177" s="7"/>
      <c r="G177" s="13"/>
    </row>
    <row r="178" ht="17.25" customHeight="1">
      <c r="C178" s="7"/>
      <c r="D178" s="7"/>
      <c r="E178" s="7"/>
      <c r="G178" s="13"/>
    </row>
    <row r="179" ht="17.25" customHeight="1">
      <c r="C179" s="7"/>
      <c r="D179" s="7"/>
      <c r="E179" s="7"/>
      <c r="G179" s="13"/>
    </row>
    <row r="180" ht="17.25" customHeight="1">
      <c r="C180" s="7"/>
      <c r="D180" s="7"/>
      <c r="E180" s="7"/>
      <c r="G180" s="13"/>
    </row>
    <row r="181" ht="17.25" customHeight="1">
      <c r="C181" s="7"/>
      <c r="D181" s="7"/>
      <c r="E181" s="7"/>
      <c r="G181" s="13"/>
    </row>
    <row r="182" ht="17.25" customHeight="1">
      <c r="C182" s="7"/>
      <c r="D182" s="7"/>
      <c r="E182" s="7"/>
      <c r="G182" s="13"/>
    </row>
    <row r="183" ht="17.25" customHeight="1">
      <c r="C183" s="7"/>
      <c r="D183" s="7"/>
      <c r="E183" s="7"/>
      <c r="G183" s="13"/>
    </row>
    <row r="184" ht="17.25" customHeight="1">
      <c r="C184" s="7"/>
      <c r="D184" s="7"/>
      <c r="E184" s="7"/>
      <c r="G184" s="13"/>
    </row>
    <row r="185" ht="17.25" customHeight="1">
      <c r="C185" s="7"/>
      <c r="D185" s="7"/>
      <c r="E185" s="7"/>
      <c r="G185" s="13"/>
    </row>
    <row r="186" ht="17.25" customHeight="1">
      <c r="C186" s="7"/>
      <c r="D186" s="7"/>
      <c r="E186" s="7"/>
      <c r="G186" s="13"/>
    </row>
    <row r="187" ht="17.25" customHeight="1">
      <c r="C187" s="7"/>
      <c r="D187" s="7"/>
      <c r="E187" s="7"/>
      <c r="G187" s="13"/>
    </row>
    <row r="188" ht="17.25" customHeight="1">
      <c r="C188" s="7"/>
      <c r="D188" s="7"/>
      <c r="E188" s="7"/>
      <c r="G188" s="13"/>
    </row>
    <row r="189" ht="17.25" customHeight="1">
      <c r="C189" s="7"/>
      <c r="D189" s="7"/>
      <c r="E189" s="7"/>
      <c r="G189" s="13"/>
    </row>
    <row r="190" ht="17.25" customHeight="1">
      <c r="C190" s="7"/>
      <c r="D190" s="7"/>
      <c r="E190" s="7"/>
      <c r="G190" s="13"/>
    </row>
    <row r="191" ht="17.25" customHeight="1">
      <c r="C191" s="7"/>
      <c r="D191" s="7"/>
      <c r="E191" s="7"/>
      <c r="G191" s="13"/>
    </row>
    <row r="192" ht="17.25" customHeight="1">
      <c r="C192" s="7"/>
      <c r="D192" s="7"/>
      <c r="E192" s="7"/>
      <c r="G192" s="13"/>
    </row>
    <row r="193" ht="17.25" customHeight="1">
      <c r="C193" s="7"/>
      <c r="D193" s="7"/>
      <c r="E193" s="7"/>
      <c r="G193" s="13"/>
    </row>
    <row r="194" ht="17.25" customHeight="1">
      <c r="C194" s="7"/>
      <c r="D194" s="7"/>
      <c r="E194" s="7"/>
      <c r="G194" s="13"/>
    </row>
    <row r="195" ht="17.25" customHeight="1">
      <c r="C195" s="7"/>
      <c r="D195" s="7"/>
      <c r="E195" s="7"/>
      <c r="G195" s="13"/>
    </row>
    <row r="196" ht="17.25" customHeight="1">
      <c r="C196" s="7"/>
      <c r="D196" s="7"/>
      <c r="E196" s="7"/>
      <c r="G196" s="13"/>
    </row>
    <row r="197" ht="17.25" customHeight="1">
      <c r="C197" s="7"/>
      <c r="D197" s="7"/>
      <c r="E197" s="7"/>
      <c r="G197" s="13"/>
    </row>
    <row r="198" ht="17.25" customHeight="1">
      <c r="C198" s="7"/>
      <c r="D198" s="7"/>
      <c r="E198" s="7"/>
      <c r="G198" s="13"/>
    </row>
    <row r="199" ht="17.25" customHeight="1">
      <c r="C199" s="7"/>
      <c r="D199" s="7"/>
      <c r="E199" s="7"/>
      <c r="G199" s="13"/>
    </row>
    <row r="200" ht="17.25" customHeight="1">
      <c r="C200" s="7"/>
      <c r="D200" s="7"/>
      <c r="E200" s="7"/>
      <c r="G200" s="13"/>
    </row>
    <row r="201" ht="17.25" customHeight="1">
      <c r="C201" s="7"/>
      <c r="D201" s="7"/>
      <c r="E201" s="7"/>
      <c r="G201" s="13"/>
    </row>
    <row r="202" ht="17.25" customHeight="1">
      <c r="C202" s="7"/>
      <c r="D202" s="7"/>
      <c r="E202" s="7"/>
      <c r="G202" s="13"/>
    </row>
    <row r="203" ht="17.25" customHeight="1">
      <c r="C203" s="7"/>
      <c r="D203" s="7"/>
      <c r="E203" s="7"/>
      <c r="G203" s="13"/>
    </row>
    <row r="204" ht="17.25" customHeight="1">
      <c r="C204" s="7"/>
      <c r="D204" s="7"/>
      <c r="E204" s="7"/>
      <c r="G204" s="13"/>
    </row>
    <row r="205" ht="17.25" customHeight="1">
      <c r="C205" s="7"/>
      <c r="D205" s="7"/>
      <c r="E205" s="7"/>
      <c r="G205" s="13"/>
    </row>
    <row r="206" ht="17.25" customHeight="1">
      <c r="C206" s="7"/>
      <c r="D206" s="7"/>
      <c r="E206" s="7"/>
      <c r="G206" s="13"/>
    </row>
    <row r="207" ht="17.25" customHeight="1">
      <c r="C207" s="7"/>
      <c r="D207" s="7"/>
      <c r="E207" s="7"/>
      <c r="G207" s="13"/>
    </row>
    <row r="208" ht="17.25" customHeight="1">
      <c r="C208" s="7"/>
      <c r="D208" s="7"/>
      <c r="E208" s="7"/>
      <c r="G208" s="13"/>
    </row>
    <row r="209" ht="17.25" customHeight="1">
      <c r="C209" s="7"/>
      <c r="D209" s="7"/>
      <c r="E209" s="7"/>
      <c r="G209" s="13"/>
    </row>
    <row r="210" ht="17.25" customHeight="1">
      <c r="C210" s="7"/>
      <c r="D210" s="7"/>
      <c r="E210" s="7"/>
      <c r="G210" s="13"/>
    </row>
    <row r="211" ht="17.25" customHeight="1">
      <c r="C211" s="7"/>
      <c r="D211" s="7"/>
      <c r="E211" s="7"/>
      <c r="G211" s="13"/>
    </row>
    <row r="212" ht="17.25" customHeight="1">
      <c r="C212" s="7"/>
      <c r="D212" s="7"/>
      <c r="E212" s="7"/>
      <c r="G212" s="13"/>
    </row>
    <row r="213" ht="17.25" customHeight="1">
      <c r="C213" s="7"/>
      <c r="D213" s="7"/>
      <c r="E213" s="7"/>
      <c r="G213" s="13"/>
    </row>
    <row r="214" ht="17.25" customHeight="1">
      <c r="C214" s="7"/>
      <c r="D214" s="7"/>
      <c r="E214" s="7"/>
      <c r="G214" s="13"/>
    </row>
    <row r="215" ht="17.25" customHeight="1">
      <c r="C215" s="7"/>
      <c r="D215" s="7"/>
      <c r="E215" s="7"/>
      <c r="G215" s="13"/>
    </row>
    <row r="216" ht="17.25" customHeight="1">
      <c r="C216" s="7"/>
      <c r="D216" s="7"/>
      <c r="E216" s="7"/>
      <c r="G216" s="13"/>
    </row>
    <row r="217" ht="17.25" customHeight="1">
      <c r="C217" s="7"/>
      <c r="D217" s="7"/>
      <c r="E217" s="7"/>
      <c r="G217" s="13"/>
    </row>
    <row r="218" ht="17.25" customHeight="1">
      <c r="C218" s="7"/>
      <c r="D218" s="7"/>
      <c r="E218" s="7"/>
      <c r="G218" s="13"/>
    </row>
    <row r="219" ht="17.25" customHeight="1">
      <c r="C219" s="7"/>
      <c r="D219" s="7"/>
      <c r="E219" s="7"/>
      <c r="G219" s="13"/>
    </row>
    <row r="220" ht="17.25" customHeight="1">
      <c r="C220" s="7"/>
      <c r="D220" s="7"/>
      <c r="E220" s="7"/>
      <c r="G220" s="13"/>
    </row>
    <row r="221" ht="17.25" customHeight="1">
      <c r="C221" s="7"/>
      <c r="D221" s="7"/>
      <c r="E221" s="7"/>
      <c r="G221" s="13"/>
    </row>
    <row r="222" ht="17.25" customHeight="1">
      <c r="C222" s="7"/>
      <c r="D222" s="7"/>
      <c r="E222" s="7"/>
      <c r="G222" s="13"/>
    </row>
    <row r="223" ht="17.25" customHeight="1">
      <c r="C223" s="7"/>
      <c r="D223" s="7"/>
      <c r="E223" s="7"/>
      <c r="G223" s="13"/>
    </row>
    <row r="224" ht="17.25" customHeight="1">
      <c r="C224" s="7"/>
      <c r="D224" s="7"/>
      <c r="E224" s="7"/>
      <c r="G224" s="13"/>
    </row>
    <row r="225" ht="17.25" customHeight="1">
      <c r="C225" s="7"/>
      <c r="D225" s="7"/>
      <c r="E225" s="7"/>
      <c r="G225" s="13"/>
    </row>
    <row r="226" ht="17.25" customHeight="1">
      <c r="C226" s="7"/>
      <c r="D226" s="7"/>
      <c r="E226" s="7"/>
      <c r="G226" s="13"/>
    </row>
    <row r="227" ht="17.25" customHeight="1">
      <c r="C227" s="7"/>
      <c r="D227" s="7"/>
      <c r="E227" s="7"/>
      <c r="G227" s="13"/>
    </row>
    <row r="228" ht="17.25" customHeight="1">
      <c r="C228" s="7"/>
      <c r="D228" s="7"/>
      <c r="E228" s="7"/>
      <c r="G228" s="13"/>
    </row>
    <row r="229" ht="17.25" customHeight="1">
      <c r="C229" s="7"/>
      <c r="D229" s="7"/>
      <c r="E229" s="7"/>
      <c r="G229" s="13"/>
    </row>
    <row r="230" ht="17.25" customHeight="1">
      <c r="C230" s="7"/>
      <c r="D230" s="7"/>
      <c r="E230" s="7"/>
      <c r="G230" s="13"/>
    </row>
    <row r="231" ht="17.25" customHeight="1">
      <c r="C231" s="7"/>
      <c r="D231" s="7"/>
      <c r="E231" s="7"/>
      <c r="G231" s="13"/>
    </row>
    <row r="232" ht="17.25" customHeight="1">
      <c r="C232" s="7"/>
      <c r="D232" s="7"/>
      <c r="E232" s="7"/>
      <c r="G232" s="13"/>
    </row>
    <row r="233" ht="17.25" customHeight="1">
      <c r="C233" s="7"/>
      <c r="D233" s="7"/>
      <c r="E233" s="7"/>
      <c r="G233" s="13"/>
    </row>
    <row r="234" ht="17.25" customHeight="1">
      <c r="C234" s="7"/>
      <c r="D234" s="7"/>
      <c r="E234" s="7"/>
      <c r="G234" s="13"/>
    </row>
    <row r="235" ht="17.25" customHeight="1">
      <c r="C235" s="7"/>
      <c r="D235" s="7"/>
      <c r="E235" s="7"/>
      <c r="G235" s="13"/>
    </row>
    <row r="236" ht="17.25" customHeight="1">
      <c r="C236" s="7"/>
      <c r="D236" s="7"/>
      <c r="E236" s="7"/>
      <c r="G236" s="13"/>
    </row>
    <row r="237" ht="17.25" customHeight="1">
      <c r="C237" s="7"/>
      <c r="D237" s="7"/>
      <c r="E237" s="7"/>
      <c r="G237" s="13"/>
    </row>
    <row r="238" ht="17.25" customHeight="1">
      <c r="C238" s="7"/>
      <c r="D238" s="7"/>
      <c r="E238" s="7"/>
      <c r="G238" s="13"/>
    </row>
    <row r="239" ht="17.25" customHeight="1">
      <c r="C239" s="7"/>
      <c r="D239" s="7"/>
      <c r="E239" s="7"/>
      <c r="G239" s="13"/>
    </row>
    <row r="240" ht="17.25" customHeight="1">
      <c r="C240" s="7"/>
      <c r="D240" s="7"/>
      <c r="E240" s="7"/>
      <c r="G240" s="13"/>
    </row>
    <row r="241" ht="17.25" customHeight="1">
      <c r="C241" s="7"/>
      <c r="D241" s="7"/>
      <c r="E241" s="7"/>
      <c r="G241" s="13"/>
    </row>
    <row r="242" ht="17.25" customHeight="1">
      <c r="C242" s="7"/>
      <c r="D242" s="7"/>
      <c r="E242" s="7"/>
      <c r="G242" s="13"/>
    </row>
    <row r="243" ht="17.25" customHeight="1">
      <c r="C243" s="7"/>
      <c r="D243" s="7"/>
      <c r="E243" s="7"/>
      <c r="G243" s="13"/>
    </row>
    <row r="244" ht="17.25" customHeight="1">
      <c r="C244" s="7"/>
      <c r="D244" s="7"/>
      <c r="E244" s="7"/>
      <c r="G244" s="13"/>
    </row>
    <row r="245" ht="17.25" customHeight="1">
      <c r="C245" s="7"/>
      <c r="D245" s="7"/>
      <c r="E245" s="7"/>
      <c r="G245" s="13"/>
    </row>
    <row r="246" ht="17.25" customHeight="1">
      <c r="C246" s="7"/>
      <c r="D246" s="7"/>
      <c r="E246" s="7"/>
      <c r="G246" s="13"/>
    </row>
    <row r="247" ht="17.25" customHeight="1">
      <c r="C247" s="7"/>
      <c r="D247" s="7"/>
      <c r="E247" s="7"/>
      <c r="G247" s="13"/>
    </row>
    <row r="248" ht="17.25" customHeight="1">
      <c r="C248" s="7"/>
      <c r="D248" s="7"/>
      <c r="E248" s="7"/>
      <c r="G248" s="13"/>
    </row>
    <row r="249" ht="17.25" customHeight="1">
      <c r="C249" s="7"/>
      <c r="D249" s="7"/>
      <c r="E249" s="7"/>
      <c r="G249" s="13"/>
    </row>
    <row r="250" ht="17.25" customHeight="1">
      <c r="C250" s="7"/>
      <c r="D250" s="7"/>
      <c r="E250" s="7"/>
      <c r="G250" s="13"/>
    </row>
    <row r="251" ht="17.25" customHeight="1">
      <c r="C251" s="7"/>
      <c r="D251" s="7"/>
      <c r="E251" s="7"/>
      <c r="G251" s="13"/>
    </row>
    <row r="252" ht="17.25" customHeight="1">
      <c r="C252" s="7"/>
      <c r="D252" s="7"/>
      <c r="E252" s="7"/>
      <c r="G252" s="13"/>
    </row>
    <row r="253" ht="17.25" customHeight="1">
      <c r="C253" s="7"/>
      <c r="D253" s="7"/>
      <c r="E253" s="7"/>
      <c r="G253" s="13"/>
    </row>
    <row r="254" ht="17.25" customHeight="1">
      <c r="C254" s="7"/>
      <c r="D254" s="7"/>
      <c r="E254" s="7"/>
      <c r="G254" s="13"/>
    </row>
    <row r="255" ht="17.25" customHeight="1">
      <c r="C255" s="7"/>
      <c r="D255" s="7"/>
      <c r="E255" s="7"/>
      <c r="G255" s="13"/>
    </row>
    <row r="256" ht="17.25" customHeight="1">
      <c r="C256" s="7"/>
      <c r="D256" s="7"/>
      <c r="E256" s="7"/>
      <c r="G256" s="13"/>
    </row>
    <row r="257" ht="17.25" customHeight="1">
      <c r="C257" s="7"/>
      <c r="D257" s="7"/>
      <c r="E257" s="7"/>
      <c r="G257" s="13"/>
    </row>
    <row r="258" ht="17.25" customHeight="1">
      <c r="C258" s="7"/>
      <c r="D258" s="7"/>
      <c r="E258" s="7"/>
      <c r="G258" s="13"/>
    </row>
    <row r="259" ht="17.25" customHeight="1">
      <c r="C259" s="7"/>
      <c r="D259" s="7"/>
      <c r="E259" s="7"/>
      <c r="G259" s="13"/>
    </row>
    <row r="260" ht="17.25" customHeight="1">
      <c r="C260" s="7"/>
      <c r="D260" s="7"/>
      <c r="E260" s="7"/>
      <c r="G260" s="13"/>
    </row>
    <row r="261" ht="17.25" customHeight="1">
      <c r="C261" s="7"/>
      <c r="D261" s="7"/>
      <c r="E261" s="7"/>
      <c r="G261" s="13"/>
    </row>
    <row r="262" ht="17.25" customHeight="1">
      <c r="C262" s="7"/>
      <c r="D262" s="7"/>
      <c r="E262" s="7"/>
      <c r="G262" s="13"/>
    </row>
    <row r="263" ht="17.25" customHeight="1">
      <c r="C263" s="7"/>
      <c r="D263" s="7"/>
      <c r="E263" s="7"/>
      <c r="G263" s="13"/>
    </row>
    <row r="264" ht="17.25" customHeight="1">
      <c r="C264" s="7"/>
      <c r="D264" s="7"/>
      <c r="E264" s="7"/>
      <c r="G264" s="13"/>
    </row>
    <row r="265" ht="17.25" customHeight="1">
      <c r="C265" s="7"/>
      <c r="D265" s="7"/>
      <c r="E265" s="7"/>
      <c r="G265" s="13"/>
    </row>
    <row r="266" ht="17.25" customHeight="1">
      <c r="C266" s="7"/>
      <c r="D266" s="7"/>
      <c r="E266" s="7"/>
      <c r="G266" s="13"/>
    </row>
    <row r="267" ht="17.25" customHeight="1">
      <c r="C267" s="7"/>
      <c r="D267" s="7"/>
      <c r="E267" s="7"/>
      <c r="G267" s="13"/>
    </row>
    <row r="268" ht="17.25" customHeight="1">
      <c r="C268" s="7"/>
      <c r="D268" s="7"/>
      <c r="E268" s="7"/>
      <c r="G268" s="13"/>
    </row>
    <row r="269" ht="17.25" customHeight="1">
      <c r="C269" s="7"/>
      <c r="D269" s="7"/>
      <c r="E269" s="7"/>
      <c r="G269" s="13"/>
    </row>
    <row r="270" ht="17.25" customHeight="1">
      <c r="C270" s="7"/>
      <c r="D270" s="7"/>
      <c r="E270" s="7"/>
      <c r="G270" s="13"/>
    </row>
    <row r="271" ht="17.25" customHeight="1">
      <c r="C271" s="7"/>
      <c r="D271" s="7"/>
      <c r="E271" s="7"/>
      <c r="G271" s="13"/>
    </row>
    <row r="272" ht="17.25" customHeight="1">
      <c r="C272" s="7"/>
      <c r="D272" s="7"/>
      <c r="E272" s="7"/>
      <c r="G272" s="13"/>
    </row>
    <row r="273" ht="17.25" customHeight="1">
      <c r="C273" s="7"/>
      <c r="D273" s="7"/>
      <c r="E273" s="7"/>
      <c r="G273" s="13"/>
    </row>
    <row r="274" ht="17.25" customHeight="1">
      <c r="C274" s="7"/>
      <c r="D274" s="7"/>
      <c r="E274" s="7"/>
      <c r="G274" s="13"/>
    </row>
    <row r="275" ht="17.25" customHeight="1">
      <c r="C275" s="7"/>
      <c r="D275" s="7"/>
      <c r="E275" s="7"/>
      <c r="G275" s="13"/>
    </row>
    <row r="276" ht="17.25" customHeight="1">
      <c r="C276" s="7"/>
      <c r="D276" s="7"/>
      <c r="E276" s="7"/>
      <c r="G276" s="13"/>
    </row>
    <row r="277" ht="17.25" customHeight="1">
      <c r="C277" s="7"/>
      <c r="D277" s="7"/>
      <c r="E277" s="7"/>
      <c r="G277" s="13"/>
    </row>
    <row r="278" ht="17.25" customHeight="1">
      <c r="C278" s="7"/>
      <c r="D278" s="7"/>
      <c r="E278" s="7"/>
      <c r="G278" s="13"/>
    </row>
    <row r="279" ht="17.25" customHeight="1">
      <c r="C279" s="7"/>
      <c r="D279" s="7"/>
      <c r="E279" s="7"/>
      <c r="G279" s="13"/>
    </row>
    <row r="280" ht="17.25" customHeight="1">
      <c r="C280" s="7"/>
      <c r="D280" s="7"/>
      <c r="E280" s="7"/>
      <c r="G280" s="13"/>
    </row>
    <row r="281" ht="17.25" customHeight="1">
      <c r="C281" s="7"/>
      <c r="D281" s="7"/>
      <c r="E281" s="7"/>
      <c r="G281" s="13"/>
    </row>
    <row r="282" ht="17.25" customHeight="1">
      <c r="C282" s="7"/>
      <c r="D282" s="7"/>
      <c r="E282" s="7"/>
      <c r="G282" s="13"/>
    </row>
    <row r="283" ht="17.25" customHeight="1">
      <c r="C283" s="7"/>
      <c r="D283" s="7"/>
      <c r="E283" s="7"/>
      <c r="G283" s="13"/>
    </row>
    <row r="284" ht="17.25" customHeight="1">
      <c r="C284" s="7"/>
      <c r="D284" s="7"/>
      <c r="E284" s="7"/>
      <c r="G284" s="13"/>
    </row>
    <row r="285" ht="17.25" customHeight="1">
      <c r="C285" s="7"/>
      <c r="D285" s="7"/>
      <c r="E285" s="7"/>
      <c r="G285" s="13"/>
    </row>
    <row r="286" ht="17.25" customHeight="1">
      <c r="C286" s="7"/>
      <c r="D286" s="7"/>
      <c r="E286" s="7"/>
      <c r="G286" s="13"/>
    </row>
    <row r="287" ht="17.25" customHeight="1">
      <c r="C287" s="7"/>
      <c r="D287" s="7"/>
      <c r="E287" s="7"/>
      <c r="G287" s="13"/>
    </row>
    <row r="288" ht="17.25" customHeight="1">
      <c r="C288" s="7"/>
      <c r="D288" s="7"/>
      <c r="E288" s="7"/>
      <c r="G288" s="13"/>
    </row>
    <row r="289" ht="17.25" customHeight="1">
      <c r="C289" s="7"/>
      <c r="D289" s="7"/>
      <c r="E289" s="7"/>
      <c r="G289" s="13"/>
    </row>
    <row r="290" ht="17.25" customHeight="1">
      <c r="C290" s="7"/>
      <c r="D290" s="7"/>
      <c r="E290" s="7"/>
      <c r="G290" s="13"/>
    </row>
    <row r="291" ht="17.25" customHeight="1">
      <c r="C291" s="7"/>
      <c r="D291" s="7"/>
      <c r="E291" s="7"/>
      <c r="G291" s="13"/>
    </row>
    <row r="292" ht="17.25" customHeight="1">
      <c r="C292" s="7"/>
      <c r="D292" s="7"/>
      <c r="E292" s="7"/>
      <c r="G292" s="13"/>
    </row>
    <row r="293" ht="17.25" customHeight="1">
      <c r="C293" s="7"/>
      <c r="D293" s="7"/>
      <c r="E293" s="7"/>
      <c r="G293" s="13"/>
    </row>
    <row r="294" ht="17.25" customHeight="1">
      <c r="C294" s="7"/>
      <c r="D294" s="7"/>
      <c r="E294" s="7"/>
      <c r="G294" s="13"/>
    </row>
    <row r="295" ht="17.25" customHeight="1">
      <c r="C295" s="7"/>
      <c r="D295" s="7"/>
      <c r="E295" s="7"/>
      <c r="G295" s="13"/>
    </row>
    <row r="296" ht="17.25" customHeight="1">
      <c r="C296" s="7"/>
      <c r="D296" s="7"/>
      <c r="E296" s="7"/>
      <c r="G296" s="13"/>
    </row>
    <row r="297" ht="17.25" customHeight="1">
      <c r="C297" s="7"/>
      <c r="D297" s="7"/>
      <c r="E297" s="7"/>
      <c r="G297" s="13"/>
    </row>
    <row r="298" ht="17.25" customHeight="1">
      <c r="C298" s="7"/>
      <c r="D298" s="7"/>
      <c r="E298" s="7"/>
      <c r="G298" s="13"/>
    </row>
    <row r="299" ht="17.25" customHeight="1">
      <c r="C299" s="7"/>
      <c r="D299" s="7"/>
      <c r="E299" s="7"/>
      <c r="G299" s="13"/>
    </row>
    <row r="300" ht="17.25" customHeight="1">
      <c r="C300" s="7"/>
      <c r="D300" s="7"/>
      <c r="E300" s="7"/>
      <c r="G300" s="13"/>
    </row>
    <row r="301" ht="17.25" customHeight="1">
      <c r="C301" s="7"/>
      <c r="D301" s="7"/>
      <c r="E301" s="7"/>
      <c r="G301" s="13"/>
    </row>
    <row r="302" ht="17.25" customHeight="1">
      <c r="C302" s="7"/>
      <c r="D302" s="7"/>
      <c r="E302" s="7"/>
      <c r="G302" s="13"/>
    </row>
    <row r="303" ht="17.25" customHeight="1">
      <c r="C303" s="7"/>
      <c r="D303" s="7"/>
      <c r="E303" s="7"/>
      <c r="G303" s="13"/>
    </row>
    <row r="304" ht="17.25" customHeight="1">
      <c r="C304" s="7"/>
      <c r="D304" s="7"/>
      <c r="E304" s="7"/>
      <c r="G304" s="13"/>
    </row>
    <row r="305" ht="17.25" customHeight="1">
      <c r="C305" s="7"/>
      <c r="D305" s="7"/>
      <c r="E305" s="7"/>
      <c r="G305" s="13"/>
    </row>
    <row r="306" ht="17.25" customHeight="1">
      <c r="C306" s="7"/>
      <c r="D306" s="7"/>
      <c r="E306" s="7"/>
      <c r="G306" s="13"/>
    </row>
    <row r="307" ht="17.25" customHeight="1">
      <c r="C307" s="7"/>
      <c r="D307" s="7"/>
      <c r="E307" s="7"/>
      <c r="G307" s="13"/>
    </row>
    <row r="308" ht="17.25" customHeight="1">
      <c r="C308" s="7"/>
      <c r="D308" s="7"/>
      <c r="E308" s="7"/>
      <c r="G308" s="13"/>
    </row>
    <row r="309" ht="17.25" customHeight="1">
      <c r="C309" s="7"/>
      <c r="D309" s="7"/>
      <c r="E309" s="7"/>
      <c r="G309" s="13"/>
    </row>
    <row r="310" ht="17.25" customHeight="1">
      <c r="C310" s="7"/>
      <c r="D310" s="7"/>
      <c r="E310" s="7"/>
      <c r="G310" s="13"/>
    </row>
    <row r="311" ht="17.25" customHeight="1">
      <c r="C311" s="7"/>
      <c r="D311" s="7"/>
      <c r="E311" s="7"/>
      <c r="G311" s="13"/>
    </row>
    <row r="312" ht="17.25" customHeight="1">
      <c r="C312" s="7"/>
      <c r="D312" s="7"/>
      <c r="E312" s="7"/>
      <c r="G312" s="13"/>
    </row>
    <row r="313" ht="17.25" customHeight="1">
      <c r="C313" s="7"/>
      <c r="D313" s="7"/>
      <c r="E313" s="7"/>
      <c r="G313" s="13"/>
    </row>
    <row r="314" ht="17.25" customHeight="1">
      <c r="C314" s="7"/>
      <c r="D314" s="7"/>
      <c r="E314" s="7"/>
      <c r="G314" s="13"/>
    </row>
    <row r="315" ht="17.25" customHeight="1">
      <c r="C315" s="7"/>
      <c r="D315" s="7"/>
      <c r="E315" s="7"/>
      <c r="G315" s="13"/>
    </row>
    <row r="316" ht="17.25" customHeight="1">
      <c r="C316" s="7"/>
      <c r="D316" s="7"/>
      <c r="E316" s="7"/>
      <c r="G316" s="13"/>
    </row>
    <row r="317" ht="17.25" customHeight="1">
      <c r="C317" s="7"/>
      <c r="D317" s="7"/>
      <c r="E317" s="7"/>
      <c r="G317" s="13"/>
    </row>
    <row r="318" ht="17.25" customHeight="1">
      <c r="C318" s="7"/>
      <c r="D318" s="7"/>
      <c r="E318" s="7"/>
      <c r="G318" s="13"/>
    </row>
    <row r="319" ht="17.25" customHeight="1">
      <c r="C319" s="7"/>
      <c r="D319" s="7"/>
      <c r="E319" s="7"/>
      <c r="G319" s="13"/>
    </row>
    <row r="320" ht="17.25" customHeight="1">
      <c r="C320" s="7"/>
      <c r="D320" s="7"/>
      <c r="E320" s="7"/>
      <c r="G320" s="13"/>
    </row>
    <row r="321" ht="17.25" customHeight="1">
      <c r="C321" s="7"/>
      <c r="D321" s="7"/>
      <c r="E321" s="7"/>
      <c r="G321" s="13"/>
    </row>
    <row r="322" ht="17.25" customHeight="1">
      <c r="C322" s="7"/>
      <c r="D322" s="7"/>
      <c r="E322" s="7"/>
      <c r="G322" s="13"/>
    </row>
    <row r="323" ht="17.25" customHeight="1">
      <c r="C323" s="7"/>
      <c r="D323" s="7"/>
      <c r="E323" s="7"/>
      <c r="G323" s="13"/>
    </row>
    <row r="324" ht="17.25" customHeight="1">
      <c r="C324" s="7"/>
      <c r="D324" s="7"/>
      <c r="E324" s="7"/>
      <c r="G324" s="13"/>
    </row>
    <row r="325" ht="17.25" customHeight="1">
      <c r="C325" s="7"/>
      <c r="D325" s="7"/>
      <c r="E325" s="7"/>
      <c r="G325" s="13"/>
    </row>
    <row r="326" ht="17.25" customHeight="1">
      <c r="C326" s="7"/>
      <c r="D326" s="7"/>
      <c r="E326" s="7"/>
      <c r="G326" s="13"/>
    </row>
    <row r="327" ht="17.25" customHeight="1">
      <c r="C327" s="7"/>
      <c r="D327" s="7"/>
      <c r="E327" s="7"/>
      <c r="G327" s="13"/>
    </row>
    <row r="328" ht="17.25" customHeight="1">
      <c r="C328" s="7"/>
      <c r="D328" s="7"/>
      <c r="E328" s="7"/>
      <c r="G328" s="13"/>
    </row>
    <row r="329" ht="17.25" customHeight="1">
      <c r="C329" s="7"/>
      <c r="D329" s="7"/>
      <c r="E329" s="7"/>
      <c r="G329" s="13"/>
    </row>
    <row r="330" ht="17.25" customHeight="1">
      <c r="C330" s="7"/>
      <c r="D330" s="7"/>
      <c r="E330" s="7"/>
      <c r="G330" s="13"/>
    </row>
    <row r="331" ht="17.25" customHeight="1">
      <c r="C331" s="7"/>
      <c r="D331" s="7"/>
      <c r="E331" s="7"/>
      <c r="G331" s="13"/>
    </row>
    <row r="332" ht="17.25" customHeight="1">
      <c r="C332" s="7"/>
      <c r="D332" s="7"/>
      <c r="E332" s="7"/>
      <c r="G332" s="13"/>
    </row>
    <row r="333" ht="17.25" customHeight="1">
      <c r="C333" s="7"/>
      <c r="D333" s="7"/>
      <c r="E333" s="7"/>
      <c r="G333" s="13"/>
    </row>
    <row r="334" ht="17.25" customHeight="1">
      <c r="C334" s="7"/>
      <c r="D334" s="7"/>
      <c r="E334" s="7"/>
      <c r="G334" s="13"/>
    </row>
    <row r="335" ht="17.25" customHeight="1">
      <c r="C335" s="7"/>
      <c r="D335" s="7"/>
      <c r="E335" s="7"/>
      <c r="G335" s="13"/>
    </row>
    <row r="336" ht="17.25" customHeight="1">
      <c r="C336" s="7"/>
      <c r="D336" s="7"/>
      <c r="E336" s="7"/>
      <c r="G336" s="13"/>
    </row>
    <row r="337" ht="17.25" customHeight="1">
      <c r="C337" s="7"/>
      <c r="D337" s="7"/>
      <c r="E337" s="7"/>
      <c r="G337" s="13"/>
    </row>
    <row r="338" ht="17.25" customHeight="1">
      <c r="C338" s="7"/>
      <c r="D338" s="7"/>
      <c r="E338" s="7"/>
      <c r="G338" s="13"/>
    </row>
    <row r="339" ht="17.25" customHeight="1">
      <c r="C339" s="7"/>
      <c r="D339" s="7"/>
      <c r="E339" s="7"/>
      <c r="G339" s="13"/>
    </row>
    <row r="340" ht="17.25" customHeight="1">
      <c r="C340" s="7"/>
      <c r="D340" s="7"/>
      <c r="E340" s="7"/>
      <c r="G340" s="13"/>
    </row>
    <row r="341" ht="17.25" customHeight="1">
      <c r="C341" s="7"/>
      <c r="D341" s="7"/>
      <c r="E341" s="7"/>
      <c r="G341" s="13"/>
    </row>
    <row r="342" ht="17.25" customHeight="1">
      <c r="C342" s="7"/>
      <c r="D342" s="7"/>
      <c r="E342" s="7"/>
      <c r="G342" s="13"/>
    </row>
    <row r="343" ht="17.25" customHeight="1">
      <c r="C343" s="7"/>
      <c r="D343" s="7"/>
      <c r="E343" s="7"/>
      <c r="G343" s="13"/>
    </row>
    <row r="344" ht="17.25" customHeight="1">
      <c r="C344" s="7"/>
      <c r="D344" s="7"/>
      <c r="E344" s="7"/>
      <c r="G344" s="13"/>
    </row>
    <row r="345" ht="17.25" customHeight="1">
      <c r="C345" s="7"/>
      <c r="D345" s="7"/>
      <c r="E345" s="7"/>
      <c r="G345" s="13"/>
    </row>
    <row r="346" ht="17.25" customHeight="1">
      <c r="C346" s="7"/>
      <c r="D346" s="7"/>
      <c r="E346" s="7"/>
      <c r="G346" s="13"/>
    </row>
    <row r="347" ht="17.25" customHeight="1">
      <c r="C347" s="7"/>
      <c r="D347" s="7"/>
      <c r="E347" s="7"/>
      <c r="G347" s="13"/>
    </row>
    <row r="348" ht="17.25" customHeight="1">
      <c r="C348" s="7"/>
      <c r="D348" s="7"/>
      <c r="E348" s="7"/>
      <c r="G348" s="13"/>
    </row>
    <row r="349" ht="17.25" customHeight="1">
      <c r="C349" s="7"/>
      <c r="D349" s="7"/>
      <c r="E349" s="7"/>
      <c r="G349" s="13"/>
    </row>
    <row r="350" ht="17.25" customHeight="1">
      <c r="C350" s="7"/>
      <c r="D350" s="7"/>
      <c r="E350" s="7"/>
      <c r="G350" s="13"/>
    </row>
    <row r="351" ht="17.25" customHeight="1">
      <c r="C351" s="7"/>
      <c r="D351" s="7"/>
      <c r="E351" s="7"/>
      <c r="G351" s="13"/>
    </row>
    <row r="352" ht="17.25" customHeight="1">
      <c r="C352" s="7"/>
      <c r="D352" s="7"/>
      <c r="E352" s="7"/>
      <c r="G352" s="13"/>
    </row>
    <row r="353" ht="17.25" customHeight="1">
      <c r="C353" s="7"/>
      <c r="D353" s="7"/>
      <c r="E353" s="7"/>
      <c r="G353" s="13"/>
    </row>
    <row r="354" ht="17.25" customHeight="1">
      <c r="C354" s="7"/>
      <c r="D354" s="7"/>
      <c r="E354" s="7"/>
      <c r="G354" s="13"/>
    </row>
    <row r="355" ht="17.25" customHeight="1">
      <c r="C355" s="7"/>
      <c r="D355" s="7"/>
      <c r="E355" s="7"/>
      <c r="G355" s="13"/>
    </row>
    <row r="356" ht="17.25" customHeight="1">
      <c r="C356" s="7"/>
      <c r="D356" s="7"/>
      <c r="E356" s="7"/>
      <c r="G356" s="13"/>
    </row>
    <row r="357" ht="17.25" customHeight="1">
      <c r="C357" s="7"/>
      <c r="D357" s="7"/>
      <c r="E357" s="7"/>
      <c r="G357" s="13"/>
    </row>
    <row r="358" ht="17.25" customHeight="1">
      <c r="C358" s="7"/>
      <c r="D358" s="7"/>
      <c r="E358" s="7"/>
      <c r="G358" s="13"/>
    </row>
    <row r="359" ht="17.25" customHeight="1">
      <c r="C359" s="7"/>
      <c r="D359" s="7"/>
      <c r="E359" s="7"/>
      <c r="G359" s="13"/>
    </row>
    <row r="360" ht="17.25" customHeight="1">
      <c r="C360" s="7"/>
      <c r="D360" s="7"/>
      <c r="E360" s="7"/>
      <c r="G360" s="13"/>
    </row>
    <row r="361" ht="17.25" customHeight="1">
      <c r="C361" s="7"/>
      <c r="D361" s="7"/>
      <c r="E361" s="7"/>
      <c r="G361" s="13"/>
    </row>
    <row r="362" ht="17.25" customHeight="1">
      <c r="C362" s="7"/>
      <c r="D362" s="7"/>
      <c r="E362" s="7"/>
      <c r="G362" s="13"/>
    </row>
    <row r="363" ht="17.25" customHeight="1">
      <c r="C363" s="7"/>
      <c r="D363" s="7"/>
      <c r="E363" s="7"/>
      <c r="G363" s="13"/>
    </row>
    <row r="364" ht="17.25" customHeight="1">
      <c r="C364" s="7"/>
      <c r="D364" s="7"/>
      <c r="E364" s="7"/>
      <c r="G364" s="13"/>
    </row>
    <row r="365" ht="17.25" customHeight="1">
      <c r="C365" s="7"/>
      <c r="D365" s="7"/>
      <c r="E365" s="7"/>
      <c r="G365" s="13"/>
    </row>
    <row r="366" ht="17.25" customHeight="1">
      <c r="C366" s="7"/>
      <c r="D366" s="7"/>
      <c r="E366" s="7"/>
      <c r="G366" s="13"/>
    </row>
    <row r="367" ht="17.25" customHeight="1">
      <c r="C367" s="7"/>
      <c r="D367" s="7"/>
      <c r="E367" s="7"/>
      <c r="G367" s="13"/>
    </row>
    <row r="368" ht="17.25" customHeight="1">
      <c r="C368" s="7"/>
      <c r="D368" s="7"/>
      <c r="E368" s="7"/>
      <c r="G368" s="13"/>
    </row>
    <row r="369" ht="17.25" customHeight="1">
      <c r="C369" s="7"/>
      <c r="D369" s="7"/>
      <c r="E369" s="7"/>
      <c r="G369" s="13"/>
    </row>
    <row r="370" ht="17.25" customHeight="1">
      <c r="C370" s="7"/>
      <c r="D370" s="7"/>
      <c r="E370" s="7"/>
      <c r="G370" s="13"/>
    </row>
    <row r="371" ht="17.25" customHeight="1">
      <c r="C371" s="7"/>
      <c r="D371" s="7"/>
      <c r="E371" s="7"/>
      <c r="G371" s="13"/>
    </row>
    <row r="372" ht="17.25" customHeight="1">
      <c r="C372" s="7"/>
      <c r="D372" s="7"/>
      <c r="E372" s="7"/>
      <c r="G372" s="13"/>
    </row>
    <row r="373" ht="17.25" customHeight="1">
      <c r="C373" s="7"/>
      <c r="D373" s="7"/>
      <c r="E373" s="7"/>
      <c r="G373" s="13"/>
    </row>
    <row r="374" ht="17.25" customHeight="1">
      <c r="C374" s="7"/>
      <c r="D374" s="7"/>
      <c r="E374" s="7"/>
      <c r="G374" s="13"/>
    </row>
    <row r="375" ht="17.25" customHeight="1">
      <c r="C375" s="7"/>
      <c r="D375" s="7"/>
      <c r="E375" s="7"/>
      <c r="G375" s="13"/>
    </row>
    <row r="376" ht="17.25" customHeight="1">
      <c r="C376" s="7"/>
      <c r="D376" s="7"/>
      <c r="E376" s="7"/>
      <c r="G376" s="13"/>
    </row>
    <row r="377" ht="17.25" customHeight="1">
      <c r="C377" s="7"/>
      <c r="D377" s="7"/>
      <c r="E377" s="7"/>
      <c r="G377" s="13"/>
    </row>
    <row r="378" ht="17.25" customHeight="1">
      <c r="C378" s="7"/>
      <c r="D378" s="7"/>
      <c r="E378" s="7"/>
      <c r="G378" s="13"/>
    </row>
    <row r="379" ht="17.25" customHeight="1">
      <c r="C379" s="7"/>
      <c r="D379" s="7"/>
      <c r="E379" s="7"/>
      <c r="G379" s="13"/>
    </row>
    <row r="380" ht="17.25" customHeight="1">
      <c r="C380" s="7"/>
      <c r="D380" s="7"/>
      <c r="E380" s="7"/>
      <c r="G380" s="13"/>
    </row>
    <row r="381" ht="17.25" customHeight="1">
      <c r="C381" s="7"/>
      <c r="D381" s="7"/>
      <c r="E381" s="7"/>
      <c r="G381" s="13"/>
    </row>
    <row r="382" ht="17.25" customHeight="1">
      <c r="C382" s="7"/>
      <c r="D382" s="7"/>
      <c r="E382" s="7"/>
      <c r="G382" s="13"/>
    </row>
    <row r="383" ht="17.25" customHeight="1">
      <c r="C383" s="7"/>
      <c r="D383" s="7"/>
      <c r="E383" s="7"/>
      <c r="G383" s="13"/>
    </row>
    <row r="384" ht="17.25" customHeight="1">
      <c r="C384" s="7"/>
      <c r="D384" s="7"/>
      <c r="E384" s="7"/>
      <c r="G384" s="13"/>
    </row>
    <row r="385" ht="17.25" customHeight="1">
      <c r="C385" s="7"/>
      <c r="D385" s="7"/>
      <c r="E385" s="7"/>
      <c r="G385" s="13"/>
    </row>
    <row r="386" ht="17.25" customHeight="1">
      <c r="C386" s="7"/>
      <c r="D386" s="7"/>
      <c r="E386" s="7"/>
      <c r="G386" s="13"/>
    </row>
    <row r="387" ht="17.25" customHeight="1">
      <c r="C387" s="7"/>
      <c r="D387" s="7"/>
      <c r="E387" s="7"/>
      <c r="G387" s="13"/>
    </row>
    <row r="388" ht="17.25" customHeight="1">
      <c r="C388" s="7"/>
      <c r="D388" s="7"/>
      <c r="E388" s="7"/>
      <c r="G388" s="13"/>
    </row>
    <row r="389" ht="17.25" customHeight="1">
      <c r="C389" s="7"/>
      <c r="D389" s="7"/>
      <c r="E389" s="7"/>
      <c r="G389" s="13"/>
    </row>
    <row r="390" ht="17.25" customHeight="1">
      <c r="C390" s="7"/>
      <c r="D390" s="7"/>
      <c r="E390" s="7"/>
      <c r="G390" s="13"/>
    </row>
    <row r="391" ht="17.25" customHeight="1">
      <c r="C391" s="7"/>
      <c r="D391" s="7"/>
      <c r="E391" s="7"/>
      <c r="G391" s="13"/>
    </row>
    <row r="392" ht="17.25" customHeight="1">
      <c r="C392" s="7"/>
      <c r="D392" s="7"/>
      <c r="E392" s="7"/>
      <c r="G392" s="13"/>
    </row>
    <row r="393" ht="17.25" customHeight="1">
      <c r="C393" s="7"/>
      <c r="D393" s="7"/>
      <c r="E393" s="7"/>
      <c r="G393" s="13"/>
    </row>
    <row r="394" ht="17.25" customHeight="1">
      <c r="C394" s="7"/>
      <c r="D394" s="7"/>
      <c r="E394" s="7"/>
      <c r="G394" s="13"/>
    </row>
    <row r="395" ht="17.25" customHeight="1">
      <c r="C395" s="7"/>
      <c r="D395" s="7"/>
      <c r="E395" s="7"/>
      <c r="G395" s="13"/>
    </row>
    <row r="396" ht="17.25" customHeight="1">
      <c r="C396" s="7"/>
      <c r="D396" s="7"/>
      <c r="E396" s="7"/>
      <c r="G396" s="13"/>
    </row>
    <row r="397" ht="17.25" customHeight="1">
      <c r="C397" s="7"/>
      <c r="D397" s="7"/>
      <c r="E397" s="7"/>
      <c r="G397" s="13"/>
    </row>
    <row r="398" ht="17.25" customHeight="1">
      <c r="C398" s="7"/>
      <c r="D398" s="7"/>
      <c r="E398" s="7"/>
      <c r="G398" s="13"/>
    </row>
    <row r="399" ht="17.25" customHeight="1">
      <c r="C399" s="7"/>
      <c r="D399" s="7"/>
      <c r="E399" s="7"/>
      <c r="G399" s="13"/>
    </row>
    <row r="400" ht="17.25" customHeight="1">
      <c r="C400" s="7"/>
      <c r="D400" s="7"/>
      <c r="E400" s="7"/>
      <c r="G400" s="13"/>
    </row>
    <row r="401" ht="17.25" customHeight="1">
      <c r="C401" s="7"/>
      <c r="D401" s="7"/>
      <c r="E401" s="7"/>
      <c r="G401" s="13"/>
    </row>
    <row r="402" ht="17.25" customHeight="1">
      <c r="C402" s="7"/>
      <c r="D402" s="7"/>
      <c r="E402" s="7"/>
      <c r="G402" s="13"/>
    </row>
    <row r="403" ht="17.25" customHeight="1">
      <c r="C403" s="7"/>
      <c r="D403" s="7"/>
      <c r="E403" s="7"/>
      <c r="G403" s="13"/>
    </row>
    <row r="404" ht="17.25" customHeight="1">
      <c r="C404" s="7"/>
      <c r="D404" s="7"/>
      <c r="E404" s="7"/>
      <c r="G404" s="13"/>
    </row>
    <row r="405" ht="17.25" customHeight="1">
      <c r="C405" s="7"/>
      <c r="D405" s="7"/>
      <c r="E405" s="7"/>
      <c r="G405" s="13"/>
    </row>
    <row r="406" ht="17.25" customHeight="1">
      <c r="C406" s="7"/>
      <c r="D406" s="7"/>
      <c r="E406" s="7"/>
      <c r="G406" s="13"/>
    </row>
    <row r="407" ht="17.25" customHeight="1">
      <c r="C407" s="7"/>
      <c r="D407" s="7"/>
      <c r="E407" s="7"/>
      <c r="G407" s="13"/>
    </row>
    <row r="408" ht="17.25" customHeight="1">
      <c r="C408" s="7"/>
      <c r="D408" s="7"/>
      <c r="E408" s="7"/>
      <c r="G408" s="13"/>
    </row>
    <row r="409" ht="17.25" customHeight="1">
      <c r="C409" s="7"/>
      <c r="D409" s="7"/>
      <c r="E409" s="7"/>
      <c r="G409" s="13"/>
    </row>
    <row r="410" ht="17.25" customHeight="1">
      <c r="C410" s="7"/>
      <c r="D410" s="7"/>
      <c r="E410" s="7"/>
      <c r="G410" s="13"/>
    </row>
    <row r="411" ht="17.25" customHeight="1">
      <c r="C411" s="7"/>
      <c r="D411" s="7"/>
      <c r="E411" s="7"/>
      <c r="G411" s="13"/>
    </row>
    <row r="412" ht="17.25" customHeight="1">
      <c r="C412" s="7"/>
      <c r="D412" s="7"/>
      <c r="E412" s="7"/>
      <c r="G412" s="13"/>
    </row>
    <row r="413" ht="17.25" customHeight="1">
      <c r="C413" s="7"/>
      <c r="D413" s="7"/>
      <c r="E413" s="7"/>
      <c r="G413" s="13"/>
    </row>
    <row r="414" ht="17.25" customHeight="1">
      <c r="C414" s="7"/>
      <c r="D414" s="7"/>
      <c r="E414" s="7"/>
      <c r="G414" s="13"/>
    </row>
    <row r="415" ht="17.25" customHeight="1">
      <c r="C415" s="7"/>
      <c r="D415" s="7"/>
      <c r="E415" s="7"/>
      <c r="G415" s="13"/>
    </row>
    <row r="416" ht="17.25" customHeight="1">
      <c r="C416" s="7"/>
      <c r="D416" s="7"/>
      <c r="E416" s="7"/>
      <c r="G416" s="13"/>
    </row>
    <row r="417" ht="17.25" customHeight="1">
      <c r="C417" s="7"/>
      <c r="D417" s="7"/>
      <c r="E417" s="7"/>
      <c r="G417" s="13"/>
    </row>
    <row r="418" ht="17.25" customHeight="1">
      <c r="C418" s="7"/>
      <c r="D418" s="7"/>
      <c r="E418" s="7"/>
      <c r="G418" s="13"/>
    </row>
    <row r="419" ht="17.25" customHeight="1">
      <c r="C419" s="7"/>
      <c r="D419" s="7"/>
      <c r="E419" s="7"/>
      <c r="G419" s="13"/>
    </row>
    <row r="420" ht="17.25" customHeight="1">
      <c r="C420" s="7"/>
      <c r="D420" s="7"/>
      <c r="E420" s="7"/>
      <c r="G420" s="13"/>
    </row>
    <row r="421" ht="17.25" customHeight="1">
      <c r="C421" s="7"/>
      <c r="D421" s="7"/>
      <c r="E421" s="7"/>
      <c r="G421" s="13"/>
    </row>
    <row r="422" ht="17.25" customHeight="1">
      <c r="C422" s="7"/>
      <c r="D422" s="7"/>
      <c r="E422" s="7"/>
      <c r="G422" s="13"/>
    </row>
    <row r="423" ht="17.25" customHeight="1">
      <c r="C423" s="7"/>
      <c r="D423" s="7"/>
      <c r="E423" s="7"/>
      <c r="G423" s="13"/>
    </row>
    <row r="424" ht="17.25" customHeight="1">
      <c r="C424" s="7"/>
      <c r="D424" s="7"/>
      <c r="E424" s="7"/>
      <c r="G424" s="13"/>
    </row>
    <row r="425" ht="17.25" customHeight="1">
      <c r="C425" s="7"/>
      <c r="D425" s="7"/>
      <c r="E425" s="7"/>
      <c r="G425" s="13"/>
    </row>
    <row r="426" ht="17.25" customHeight="1">
      <c r="C426" s="7"/>
      <c r="D426" s="7"/>
      <c r="E426" s="7"/>
      <c r="G426" s="13"/>
    </row>
    <row r="427" ht="17.25" customHeight="1">
      <c r="C427" s="7"/>
      <c r="D427" s="7"/>
      <c r="E427" s="7"/>
      <c r="G427" s="13"/>
    </row>
    <row r="428" ht="17.25" customHeight="1">
      <c r="C428" s="7"/>
      <c r="D428" s="7"/>
      <c r="E428" s="7"/>
      <c r="G428" s="13"/>
    </row>
    <row r="429" ht="17.25" customHeight="1">
      <c r="C429" s="7"/>
      <c r="D429" s="7"/>
      <c r="E429" s="7"/>
      <c r="G429" s="13"/>
    </row>
    <row r="430" ht="17.25" customHeight="1">
      <c r="C430" s="7"/>
      <c r="D430" s="7"/>
      <c r="E430" s="7"/>
      <c r="G430" s="13"/>
    </row>
    <row r="431" ht="17.25" customHeight="1">
      <c r="C431" s="7"/>
      <c r="D431" s="7"/>
      <c r="E431" s="7"/>
      <c r="G431" s="13"/>
    </row>
    <row r="432" ht="17.25" customHeight="1">
      <c r="C432" s="7"/>
      <c r="D432" s="7"/>
      <c r="E432" s="7"/>
      <c r="G432" s="13"/>
    </row>
    <row r="433" ht="17.25" customHeight="1">
      <c r="C433" s="7"/>
      <c r="D433" s="7"/>
      <c r="E433" s="7"/>
      <c r="G433" s="13"/>
    </row>
    <row r="434" ht="17.25" customHeight="1">
      <c r="C434" s="7"/>
      <c r="D434" s="7"/>
      <c r="E434" s="7"/>
      <c r="G434" s="13"/>
    </row>
    <row r="435" ht="17.25" customHeight="1">
      <c r="C435" s="7"/>
      <c r="D435" s="7"/>
      <c r="E435" s="7"/>
      <c r="G435" s="13"/>
    </row>
    <row r="436" ht="17.25" customHeight="1">
      <c r="C436" s="7"/>
      <c r="D436" s="7"/>
      <c r="E436" s="7"/>
      <c r="G436" s="13"/>
    </row>
    <row r="437" ht="17.25" customHeight="1">
      <c r="C437" s="7"/>
      <c r="D437" s="7"/>
      <c r="E437" s="7"/>
      <c r="G437" s="13"/>
    </row>
    <row r="438" ht="17.25" customHeight="1">
      <c r="C438" s="7"/>
      <c r="D438" s="7"/>
      <c r="E438" s="7"/>
      <c r="G438" s="13"/>
    </row>
    <row r="439" ht="17.25" customHeight="1">
      <c r="C439" s="7"/>
      <c r="D439" s="7"/>
      <c r="E439" s="7"/>
      <c r="G439" s="13"/>
    </row>
    <row r="440" ht="17.25" customHeight="1">
      <c r="C440" s="7"/>
      <c r="D440" s="7"/>
      <c r="E440" s="7"/>
      <c r="G440" s="13"/>
    </row>
    <row r="441" ht="17.25" customHeight="1">
      <c r="C441" s="7"/>
      <c r="D441" s="7"/>
      <c r="E441" s="7"/>
      <c r="G441" s="13"/>
    </row>
    <row r="442" ht="17.25" customHeight="1">
      <c r="C442" s="7"/>
      <c r="D442" s="7"/>
      <c r="E442" s="7"/>
      <c r="G442" s="13"/>
    </row>
    <row r="443" ht="17.25" customHeight="1">
      <c r="C443" s="7"/>
      <c r="D443" s="7"/>
      <c r="E443" s="7"/>
      <c r="G443" s="13"/>
    </row>
    <row r="444" ht="17.25" customHeight="1">
      <c r="C444" s="7"/>
      <c r="D444" s="7"/>
      <c r="E444" s="7"/>
      <c r="G444" s="13"/>
    </row>
    <row r="445" ht="17.25" customHeight="1">
      <c r="C445" s="7"/>
      <c r="D445" s="7"/>
      <c r="E445" s="7"/>
      <c r="G445" s="13"/>
    </row>
    <row r="446" ht="17.25" customHeight="1">
      <c r="C446" s="7"/>
      <c r="D446" s="7"/>
      <c r="E446" s="7"/>
      <c r="G446" s="13"/>
    </row>
    <row r="447" ht="17.25" customHeight="1">
      <c r="C447" s="7"/>
      <c r="D447" s="7"/>
      <c r="E447" s="7"/>
      <c r="G447" s="13"/>
    </row>
    <row r="448" ht="17.25" customHeight="1">
      <c r="C448" s="7"/>
      <c r="D448" s="7"/>
      <c r="E448" s="7"/>
      <c r="G448" s="13"/>
    </row>
    <row r="449" ht="17.25" customHeight="1">
      <c r="C449" s="7"/>
      <c r="D449" s="7"/>
      <c r="E449" s="7"/>
      <c r="G449" s="13"/>
    </row>
    <row r="450" ht="17.25" customHeight="1">
      <c r="C450" s="7"/>
      <c r="D450" s="7"/>
      <c r="E450" s="7"/>
      <c r="G450" s="13"/>
    </row>
    <row r="451" ht="17.25" customHeight="1">
      <c r="C451" s="7"/>
      <c r="D451" s="7"/>
      <c r="E451" s="7"/>
      <c r="G451" s="13"/>
    </row>
    <row r="452" ht="17.25" customHeight="1">
      <c r="C452" s="7"/>
      <c r="D452" s="7"/>
      <c r="E452" s="7"/>
      <c r="G452" s="13"/>
    </row>
    <row r="453" ht="17.25" customHeight="1">
      <c r="C453" s="7"/>
      <c r="D453" s="7"/>
      <c r="E453" s="7"/>
      <c r="G453" s="13"/>
    </row>
    <row r="454" ht="17.25" customHeight="1">
      <c r="C454" s="7"/>
      <c r="D454" s="7"/>
      <c r="E454" s="7"/>
      <c r="G454" s="13"/>
    </row>
    <row r="455" ht="17.25" customHeight="1">
      <c r="C455" s="7"/>
      <c r="D455" s="7"/>
      <c r="E455" s="7"/>
      <c r="G455" s="13"/>
    </row>
    <row r="456" ht="17.25" customHeight="1">
      <c r="C456" s="7"/>
      <c r="D456" s="7"/>
      <c r="E456" s="7"/>
      <c r="G456" s="13"/>
    </row>
    <row r="457" ht="17.25" customHeight="1">
      <c r="C457" s="7"/>
      <c r="D457" s="7"/>
      <c r="E457" s="7"/>
      <c r="G457" s="13"/>
    </row>
    <row r="458" ht="17.25" customHeight="1">
      <c r="C458" s="7"/>
      <c r="D458" s="7"/>
      <c r="E458" s="7"/>
      <c r="G458" s="13"/>
    </row>
    <row r="459" ht="17.25" customHeight="1">
      <c r="C459" s="7"/>
      <c r="D459" s="7"/>
      <c r="E459" s="7"/>
      <c r="G459" s="13"/>
    </row>
    <row r="460" ht="17.25" customHeight="1">
      <c r="C460" s="7"/>
      <c r="D460" s="7"/>
      <c r="E460" s="7"/>
      <c r="G460" s="13"/>
    </row>
    <row r="461" ht="17.25" customHeight="1">
      <c r="C461" s="7"/>
      <c r="D461" s="7"/>
      <c r="E461" s="7"/>
      <c r="G461" s="13"/>
    </row>
    <row r="462" ht="17.25" customHeight="1">
      <c r="C462" s="7"/>
      <c r="D462" s="7"/>
      <c r="E462" s="7"/>
      <c r="G462" s="13"/>
    </row>
    <row r="463" ht="17.25" customHeight="1">
      <c r="C463" s="7"/>
      <c r="D463" s="7"/>
      <c r="E463" s="7"/>
      <c r="G463" s="13"/>
    </row>
    <row r="464" ht="17.25" customHeight="1">
      <c r="C464" s="7"/>
      <c r="D464" s="7"/>
      <c r="E464" s="7"/>
      <c r="G464" s="13"/>
    </row>
    <row r="465" ht="17.25" customHeight="1">
      <c r="C465" s="7"/>
      <c r="D465" s="7"/>
      <c r="E465" s="7"/>
      <c r="G465" s="13"/>
    </row>
    <row r="466" ht="17.25" customHeight="1">
      <c r="C466" s="7"/>
      <c r="D466" s="7"/>
      <c r="E466" s="7"/>
      <c r="G466" s="13"/>
    </row>
    <row r="467" ht="17.25" customHeight="1">
      <c r="C467" s="7"/>
      <c r="D467" s="7"/>
      <c r="E467" s="7"/>
      <c r="G467" s="13"/>
    </row>
    <row r="468" ht="17.25" customHeight="1">
      <c r="C468" s="7"/>
      <c r="D468" s="7"/>
      <c r="E468" s="7"/>
      <c r="G468" s="13"/>
    </row>
    <row r="469" ht="17.25" customHeight="1">
      <c r="C469" s="7"/>
      <c r="D469" s="7"/>
      <c r="E469" s="7"/>
      <c r="G469" s="13"/>
    </row>
    <row r="470" ht="17.25" customHeight="1">
      <c r="C470" s="7"/>
      <c r="D470" s="7"/>
      <c r="E470" s="7"/>
      <c r="G470" s="13"/>
    </row>
    <row r="471" ht="17.25" customHeight="1">
      <c r="C471" s="7"/>
      <c r="D471" s="7"/>
      <c r="E471" s="7"/>
      <c r="G471" s="13"/>
    </row>
    <row r="472" ht="17.25" customHeight="1">
      <c r="C472" s="7"/>
      <c r="D472" s="7"/>
      <c r="E472" s="7"/>
      <c r="G472" s="13"/>
    </row>
    <row r="473" ht="17.25" customHeight="1">
      <c r="C473" s="7"/>
      <c r="D473" s="7"/>
      <c r="E473" s="7"/>
      <c r="G473" s="13"/>
    </row>
    <row r="474" ht="17.25" customHeight="1">
      <c r="C474" s="7"/>
      <c r="D474" s="7"/>
      <c r="E474" s="7"/>
      <c r="G474" s="13"/>
    </row>
    <row r="475" ht="17.25" customHeight="1">
      <c r="C475" s="7"/>
      <c r="D475" s="7"/>
      <c r="E475" s="7"/>
      <c r="G475" s="13"/>
    </row>
    <row r="476" ht="17.25" customHeight="1">
      <c r="C476" s="7"/>
      <c r="D476" s="7"/>
      <c r="E476" s="7"/>
      <c r="G476" s="13"/>
    </row>
    <row r="477" ht="17.25" customHeight="1">
      <c r="C477" s="7"/>
      <c r="D477" s="7"/>
      <c r="E477" s="7"/>
      <c r="G477" s="13"/>
    </row>
    <row r="478" ht="17.25" customHeight="1">
      <c r="C478" s="7"/>
      <c r="D478" s="7"/>
      <c r="E478" s="7"/>
      <c r="G478" s="13"/>
    </row>
    <row r="479" ht="17.25" customHeight="1">
      <c r="C479" s="7"/>
      <c r="D479" s="7"/>
      <c r="E479" s="7"/>
      <c r="G479" s="13"/>
    </row>
    <row r="480" ht="17.25" customHeight="1">
      <c r="C480" s="7"/>
      <c r="D480" s="7"/>
      <c r="E480" s="7"/>
      <c r="G480" s="13"/>
    </row>
    <row r="481" ht="17.25" customHeight="1">
      <c r="C481" s="7"/>
      <c r="D481" s="7"/>
      <c r="E481" s="7"/>
      <c r="G481" s="13"/>
    </row>
    <row r="482" ht="17.25" customHeight="1">
      <c r="C482" s="7"/>
      <c r="D482" s="7"/>
      <c r="E482" s="7"/>
      <c r="G482" s="13"/>
    </row>
    <row r="483" ht="17.25" customHeight="1">
      <c r="C483" s="7"/>
      <c r="D483" s="7"/>
      <c r="E483" s="7"/>
      <c r="G483" s="13"/>
    </row>
    <row r="484" ht="17.25" customHeight="1">
      <c r="C484" s="7"/>
      <c r="D484" s="7"/>
      <c r="E484" s="7"/>
      <c r="G484" s="13"/>
    </row>
    <row r="485" ht="17.25" customHeight="1">
      <c r="C485" s="7"/>
      <c r="D485" s="7"/>
      <c r="E485" s="7"/>
      <c r="G485" s="13"/>
    </row>
    <row r="486" ht="17.25" customHeight="1">
      <c r="C486" s="7"/>
      <c r="D486" s="7"/>
      <c r="E486" s="7"/>
      <c r="G486" s="13"/>
    </row>
    <row r="487" ht="17.25" customHeight="1">
      <c r="C487" s="7"/>
      <c r="D487" s="7"/>
      <c r="E487" s="7"/>
      <c r="G487" s="13"/>
    </row>
    <row r="488" ht="17.25" customHeight="1">
      <c r="C488" s="7"/>
      <c r="D488" s="7"/>
      <c r="E488" s="7"/>
      <c r="G488" s="13"/>
    </row>
    <row r="489" ht="17.25" customHeight="1">
      <c r="C489" s="7"/>
      <c r="D489" s="7"/>
      <c r="E489" s="7"/>
      <c r="G489" s="13"/>
    </row>
    <row r="490" ht="17.25" customHeight="1">
      <c r="C490" s="7"/>
      <c r="D490" s="7"/>
      <c r="E490" s="7"/>
      <c r="G490" s="13"/>
    </row>
    <row r="491" ht="17.25" customHeight="1">
      <c r="C491" s="7"/>
      <c r="D491" s="7"/>
      <c r="E491" s="7"/>
      <c r="G491" s="13"/>
    </row>
    <row r="492" ht="17.25" customHeight="1">
      <c r="C492" s="7"/>
      <c r="D492" s="7"/>
      <c r="E492" s="7"/>
      <c r="G492" s="13"/>
    </row>
    <row r="493" ht="17.25" customHeight="1">
      <c r="C493" s="7"/>
      <c r="D493" s="7"/>
      <c r="E493" s="7"/>
      <c r="G493" s="13"/>
    </row>
    <row r="494" ht="17.25" customHeight="1">
      <c r="C494" s="7"/>
      <c r="D494" s="7"/>
      <c r="E494" s="7"/>
      <c r="G494" s="13"/>
    </row>
    <row r="495" ht="17.25" customHeight="1">
      <c r="C495" s="7"/>
      <c r="D495" s="7"/>
      <c r="E495" s="7"/>
      <c r="G495" s="13"/>
    </row>
    <row r="496" ht="17.25" customHeight="1">
      <c r="C496" s="7"/>
      <c r="D496" s="7"/>
      <c r="E496" s="7"/>
      <c r="G496" s="13"/>
    </row>
    <row r="497" ht="17.25" customHeight="1">
      <c r="C497" s="7"/>
      <c r="D497" s="7"/>
      <c r="E497" s="7"/>
      <c r="G497" s="13"/>
    </row>
    <row r="498" ht="17.25" customHeight="1">
      <c r="C498" s="7"/>
      <c r="D498" s="7"/>
      <c r="E498" s="7"/>
      <c r="G498" s="13"/>
    </row>
    <row r="499" ht="17.25" customHeight="1">
      <c r="C499" s="7"/>
      <c r="D499" s="7"/>
      <c r="E499" s="7"/>
      <c r="G499" s="13"/>
    </row>
    <row r="500" ht="17.25" customHeight="1">
      <c r="C500" s="7"/>
      <c r="D500" s="7"/>
      <c r="E500" s="7"/>
      <c r="G500" s="13"/>
    </row>
    <row r="501" ht="17.25" customHeight="1">
      <c r="C501" s="7"/>
      <c r="D501" s="7"/>
      <c r="E501" s="7"/>
      <c r="G501" s="13"/>
    </row>
    <row r="502" ht="17.25" customHeight="1">
      <c r="C502" s="7"/>
      <c r="D502" s="7"/>
      <c r="E502" s="7"/>
      <c r="G502" s="13"/>
    </row>
    <row r="503" ht="17.25" customHeight="1">
      <c r="C503" s="7"/>
      <c r="D503" s="7"/>
      <c r="E503" s="7"/>
      <c r="G503" s="13"/>
    </row>
    <row r="504" ht="17.25" customHeight="1">
      <c r="C504" s="7"/>
      <c r="D504" s="7"/>
      <c r="E504" s="7"/>
      <c r="G504" s="13"/>
    </row>
    <row r="505" ht="17.25" customHeight="1">
      <c r="C505" s="7"/>
      <c r="D505" s="7"/>
      <c r="E505" s="7"/>
      <c r="G505" s="13"/>
    </row>
    <row r="506" ht="17.25" customHeight="1">
      <c r="C506" s="7"/>
      <c r="D506" s="7"/>
      <c r="E506" s="7"/>
      <c r="G506" s="13"/>
    </row>
    <row r="507" ht="17.25" customHeight="1">
      <c r="C507" s="7"/>
      <c r="D507" s="7"/>
      <c r="E507" s="7"/>
      <c r="G507" s="13"/>
    </row>
    <row r="508" ht="17.25" customHeight="1">
      <c r="C508" s="7"/>
      <c r="D508" s="7"/>
      <c r="E508" s="7"/>
      <c r="G508" s="13"/>
    </row>
    <row r="509" ht="17.25" customHeight="1">
      <c r="C509" s="7"/>
      <c r="D509" s="7"/>
      <c r="E509" s="7"/>
      <c r="G509" s="13"/>
    </row>
    <row r="510" ht="17.25" customHeight="1">
      <c r="C510" s="7"/>
      <c r="D510" s="7"/>
      <c r="E510" s="7"/>
      <c r="G510" s="13"/>
    </row>
    <row r="511" ht="17.25" customHeight="1">
      <c r="C511" s="7"/>
      <c r="D511" s="7"/>
      <c r="E511" s="7"/>
      <c r="G511" s="13"/>
    </row>
    <row r="512" ht="17.25" customHeight="1">
      <c r="C512" s="7"/>
      <c r="D512" s="7"/>
      <c r="E512" s="7"/>
      <c r="G512" s="13"/>
    </row>
    <row r="513" ht="17.25" customHeight="1">
      <c r="C513" s="7"/>
      <c r="D513" s="7"/>
      <c r="E513" s="7"/>
      <c r="G513" s="13"/>
    </row>
    <row r="514" ht="17.25" customHeight="1">
      <c r="C514" s="7"/>
      <c r="D514" s="7"/>
      <c r="E514" s="7"/>
      <c r="G514" s="13"/>
    </row>
    <row r="515" ht="17.25" customHeight="1">
      <c r="C515" s="7"/>
      <c r="D515" s="7"/>
      <c r="E515" s="7"/>
      <c r="G515" s="13"/>
    </row>
    <row r="516" ht="17.25" customHeight="1">
      <c r="C516" s="7"/>
      <c r="D516" s="7"/>
      <c r="E516" s="7"/>
      <c r="G516" s="13"/>
    </row>
    <row r="517" ht="17.25" customHeight="1">
      <c r="C517" s="7"/>
      <c r="D517" s="7"/>
      <c r="E517" s="7"/>
      <c r="G517" s="13"/>
    </row>
    <row r="518" ht="17.25" customHeight="1">
      <c r="C518" s="7"/>
      <c r="D518" s="7"/>
      <c r="E518" s="7"/>
      <c r="G518" s="13"/>
    </row>
    <row r="519" ht="17.25" customHeight="1">
      <c r="C519" s="7"/>
      <c r="D519" s="7"/>
      <c r="E519" s="7"/>
      <c r="G519" s="13"/>
    </row>
    <row r="520" ht="17.25" customHeight="1">
      <c r="C520" s="7"/>
      <c r="D520" s="7"/>
      <c r="E520" s="7"/>
      <c r="G520" s="13"/>
    </row>
    <row r="521" ht="17.25" customHeight="1">
      <c r="C521" s="7"/>
      <c r="D521" s="7"/>
      <c r="E521" s="7"/>
      <c r="G521" s="13"/>
    </row>
    <row r="522" ht="17.25" customHeight="1">
      <c r="C522" s="7"/>
      <c r="D522" s="7"/>
      <c r="E522" s="7"/>
      <c r="G522" s="13"/>
    </row>
    <row r="523" ht="17.25" customHeight="1">
      <c r="C523" s="7"/>
      <c r="D523" s="7"/>
      <c r="E523" s="7"/>
      <c r="G523" s="13"/>
    </row>
    <row r="524" ht="17.25" customHeight="1">
      <c r="C524" s="7"/>
      <c r="D524" s="7"/>
      <c r="E524" s="7"/>
      <c r="G524" s="13"/>
    </row>
    <row r="525" ht="17.25" customHeight="1">
      <c r="C525" s="7"/>
      <c r="D525" s="7"/>
      <c r="E525" s="7"/>
      <c r="G525" s="13"/>
    </row>
    <row r="526" ht="17.25" customHeight="1">
      <c r="C526" s="7"/>
      <c r="D526" s="7"/>
      <c r="E526" s="7"/>
      <c r="G526" s="13"/>
    </row>
    <row r="527" ht="17.25" customHeight="1">
      <c r="C527" s="7"/>
      <c r="D527" s="7"/>
      <c r="E527" s="7"/>
      <c r="G527" s="13"/>
    </row>
    <row r="528" ht="17.25" customHeight="1">
      <c r="C528" s="7"/>
      <c r="D528" s="7"/>
      <c r="E528" s="7"/>
      <c r="G528" s="13"/>
    </row>
    <row r="529" ht="17.25" customHeight="1">
      <c r="C529" s="7"/>
      <c r="D529" s="7"/>
      <c r="E529" s="7"/>
      <c r="G529" s="13"/>
    </row>
    <row r="530" ht="17.25" customHeight="1">
      <c r="C530" s="7"/>
      <c r="D530" s="7"/>
      <c r="E530" s="7"/>
      <c r="G530" s="13"/>
    </row>
    <row r="531" ht="17.25" customHeight="1">
      <c r="C531" s="7"/>
      <c r="D531" s="7"/>
      <c r="E531" s="7"/>
      <c r="G531" s="13"/>
    </row>
    <row r="532" ht="17.25" customHeight="1">
      <c r="C532" s="7"/>
      <c r="D532" s="7"/>
      <c r="E532" s="7"/>
      <c r="G532" s="13"/>
    </row>
    <row r="533" ht="17.25" customHeight="1">
      <c r="C533" s="7"/>
      <c r="D533" s="7"/>
      <c r="E533" s="7"/>
      <c r="G533" s="13"/>
    </row>
    <row r="534" ht="17.25" customHeight="1">
      <c r="C534" s="7"/>
      <c r="D534" s="7"/>
      <c r="E534" s="7"/>
      <c r="G534" s="13"/>
    </row>
    <row r="535" ht="17.25" customHeight="1">
      <c r="C535" s="7"/>
      <c r="D535" s="7"/>
      <c r="E535" s="7"/>
      <c r="G535" s="13"/>
    </row>
    <row r="536" ht="17.25" customHeight="1">
      <c r="C536" s="7"/>
      <c r="D536" s="7"/>
      <c r="E536" s="7"/>
      <c r="G536" s="13"/>
    </row>
    <row r="537" ht="17.25" customHeight="1">
      <c r="C537" s="7"/>
      <c r="D537" s="7"/>
      <c r="E537" s="7"/>
      <c r="G537" s="13"/>
    </row>
    <row r="538" ht="17.25" customHeight="1">
      <c r="C538" s="7"/>
      <c r="D538" s="7"/>
      <c r="E538" s="7"/>
      <c r="G538" s="13"/>
    </row>
    <row r="539" ht="17.25" customHeight="1">
      <c r="C539" s="7"/>
      <c r="D539" s="7"/>
      <c r="E539" s="7"/>
      <c r="G539" s="13"/>
    </row>
    <row r="540" ht="17.25" customHeight="1">
      <c r="C540" s="7"/>
      <c r="D540" s="7"/>
      <c r="E540" s="7"/>
      <c r="G540" s="13"/>
    </row>
    <row r="541" ht="17.25" customHeight="1">
      <c r="C541" s="7"/>
      <c r="D541" s="7"/>
      <c r="E541" s="7"/>
      <c r="G541" s="13"/>
    </row>
    <row r="542" ht="17.25" customHeight="1">
      <c r="C542" s="7"/>
      <c r="D542" s="7"/>
      <c r="E542" s="7"/>
      <c r="G542" s="13"/>
    </row>
    <row r="543" ht="17.25" customHeight="1">
      <c r="C543" s="7"/>
      <c r="D543" s="7"/>
      <c r="E543" s="7"/>
      <c r="G543" s="13"/>
    </row>
    <row r="544" ht="17.25" customHeight="1">
      <c r="C544" s="7"/>
      <c r="D544" s="7"/>
      <c r="E544" s="7"/>
      <c r="G544" s="13"/>
    </row>
    <row r="545" ht="17.25" customHeight="1">
      <c r="C545" s="7"/>
      <c r="D545" s="7"/>
      <c r="E545" s="7"/>
      <c r="G545" s="13"/>
    </row>
    <row r="546" ht="17.25" customHeight="1">
      <c r="C546" s="7"/>
      <c r="D546" s="7"/>
      <c r="E546" s="7"/>
      <c r="G546" s="13"/>
    </row>
    <row r="547" ht="17.25" customHeight="1">
      <c r="C547" s="7"/>
      <c r="D547" s="7"/>
      <c r="E547" s="7"/>
      <c r="G547" s="13"/>
    </row>
    <row r="548" ht="17.25" customHeight="1">
      <c r="C548" s="7"/>
      <c r="D548" s="7"/>
      <c r="E548" s="7"/>
      <c r="G548" s="13"/>
    </row>
    <row r="549" ht="17.25" customHeight="1">
      <c r="C549" s="7"/>
      <c r="D549" s="7"/>
      <c r="E549" s="7"/>
      <c r="G549" s="13"/>
    </row>
    <row r="550" ht="17.25" customHeight="1">
      <c r="C550" s="7"/>
      <c r="D550" s="7"/>
      <c r="E550" s="7"/>
      <c r="G550" s="13"/>
    </row>
    <row r="551" ht="17.25" customHeight="1">
      <c r="C551" s="7"/>
      <c r="D551" s="7"/>
      <c r="E551" s="7"/>
      <c r="G551" s="13"/>
    </row>
    <row r="552" ht="17.25" customHeight="1">
      <c r="C552" s="7"/>
      <c r="D552" s="7"/>
      <c r="E552" s="7"/>
      <c r="G552" s="13"/>
    </row>
    <row r="553" ht="17.25" customHeight="1">
      <c r="C553" s="7"/>
      <c r="D553" s="7"/>
      <c r="E553" s="7"/>
      <c r="G553" s="13"/>
    </row>
    <row r="554" ht="17.25" customHeight="1">
      <c r="C554" s="7"/>
      <c r="D554" s="7"/>
      <c r="E554" s="7"/>
      <c r="G554" s="13"/>
    </row>
    <row r="555" ht="17.25" customHeight="1">
      <c r="C555" s="7"/>
      <c r="D555" s="7"/>
      <c r="E555" s="7"/>
      <c r="G555" s="13"/>
    </row>
    <row r="556" ht="17.25" customHeight="1">
      <c r="C556" s="7"/>
      <c r="D556" s="7"/>
      <c r="E556" s="7"/>
      <c r="G556" s="13"/>
    </row>
    <row r="557" ht="17.25" customHeight="1">
      <c r="C557" s="7"/>
      <c r="D557" s="7"/>
      <c r="E557" s="7"/>
      <c r="G557" s="13"/>
    </row>
    <row r="558" ht="17.25" customHeight="1">
      <c r="C558" s="7"/>
      <c r="D558" s="7"/>
      <c r="E558" s="7"/>
      <c r="G558" s="13"/>
    </row>
    <row r="559" ht="17.25" customHeight="1">
      <c r="C559" s="7"/>
      <c r="D559" s="7"/>
      <c r="E559" s="7"/>
      <c r="G559" s="13"/>
    </row>
    <row r="560" ht="17.25" customHeight="1">
      <c r="C560" s="7"/>
      <c r="D560" s="7"/>
      <c r="E560" s="7"/>
      <c r="G560" s="13"/>
    </row>
    <row r="561" ht="17.25" customHeight="1">
      <c r="C561" s="7"/>
      <c r="D561" s="7"/>
      <c r="E561" s="7"/>
      <c r="G561" s="13"/>
    </row>
    <row r="562" ht="17.25" customHeight="1">
      <c r="C562" s="7"/>
      <c r="D562" s="7"/>
      <c r="E562" s="7"/>
      <c r="G562" s="13"/>
    </row>
    <row r="563" ht="17.25" customHeight="1">
      <c r="C563" s="7"/>
      <c r="D563" s="7"/>
      <c r="E563" s="7"/>
      <c r="G563" s="13"/>
    </row>
    <row r="564" ht="17.25" customHeight="1">
      <c r="C564" s="7"/>
      <c r="D564" s="7"/>
      <c r="E564" s="7"/>
      <c r="G564" s="13"/>
    </row>
    <row r="565" ht="17.25" customHeight="1">
      <c r="C565" s="7"/>
      <c r="D565" s="7"/>
      <c r="E565" s="7"/>
      <c r="G565" s="13"/>
    </row>
    <row r="566" ht="17.25" customHeight="1">
      <c r="C566" s="7"/>
      <c r="D566" s="7"/>
      <c r="E566" s="7"/>
      <c r="G566" s="13"/>
    </row>
    <row r="567" ht="17.25" customHeight="1">
      <c r="C567" s="7"/>
      <c r="D567" s="7"/>
      <c r="E567" s="7"/>
      <c r="G567" s="13"/>
    </row>
    <row r="568" ht="17.25" customHeight="1">
      <c r="C568" s="7"/>
      <c r="D568" s="7"/>
      <c r="E568" s="7"/>
      <c r="G568" s="13"/>
    </row>
    <row r="569" ht="17.25" customHeight="1">
      <c r="C569" s="7"/>
      <c r="D569" s="7"/>
      <c r="E569" s="7"/>
      <c r="G569" s="13"/>
    </row>
    <row r="570" ht="17.25" customHeight="1">
      <c r="C570" s="7"/>
      <c r="D570" s="7"/>
      <c r="E570" s="7"/>
      <c r="G570" s="13"/>
    </row>
    <row r="571" ht="17.25" customHeight="1">
      <c r="C571" s="7"/>
      <c r="D571" s="7"/>
      <c r="E571" s="7"/>
      <c r="G571" s="13"/>
    </row>
    <row r="572" ht="17.25" customHeight="1">
      <c r="C572" s="7"/>
      <c r="D572" s="7"/>
      <c r="E572" s="7"/>
      <c r="G572" s="13"/>
    </row>
    <row r="573" ht="17.25" customHeight="1">
      <c r="C573" s="7"/>
      <c r="D573" s="7"/>
      <c r="E573" s="7"/>
      <c r="G573" s="13"/>
    </row>
    <row r="574" ht="17.25" customHeight="1">
      <c r="C574" s="7"/>
      <c r="D574" s="7"/>
      <c r="E574" s="7"/>
      <c r="G574" s="13"/>
    </row>
    <row r="575" ht="17.25" customHeight="1">
      <c r="C575" s="7"/>
      <c r="D575" s="7"/>
      <c r="E575" s="7"/>
      <c r="G575" s="13"/>
    </row>
    <row r="576" ht="17.25" customHeight="1">
      <c r="C576" s="7"/>
      <c r="D576" s="7"/>
      <c r="E576" s="7"/>
      <c r="G576" s="13"/>
    </row>
    <row r="577" ht="17.25" customHeight="1">
      <c r="C577" s="7"/>
      <c r="D577" s="7"/>
      <c r="E577" s="7"/>
      <c r="G577" s="13"/>
    </row>
    <row r="578" ht="17.25" customHeight="1">
      <c r="C578" s="7"/>
      <c r="D578" s="7"/>
      <c r="E578" s="7"/>
      <c r="G578" s="13"/>
    </row>
    <row r="579" ht="17.25" customHeight="1">
      <c r="C579" s="7"/>
      <c r="D579" s="7"/>
      <c r="E579" s="7"/>
      <c r="G579" s="13"/>
    </row>
    <row r="580" ht="17.25" customHeight="1">
      <c r="C580" s="7"/>
      <c r="D580" s="7"/>
      <c r="E580" s="7"/>
      <c r="G580" s="13"/>
    </row>
    <row r="581" ht="17.25" customHeight="1">
      <c r="C581" s="7"/>
      <c r="D581" s="7"/>
      <c r="E581" s="7"/>
      <c r="G581" s="13"/>
    </row>
    <row r="582" ht="17.25" customHeight="1">
      <c r="C582" s="7"/>
      <c r="D582" s="7"/>
      <c r="E582" s="7"/>
      <c r="G582" s="13"/>
    </row>
    <row r="583" ht="17.25" customHeight="1">
      <c r="C583" s="7"/>
      <c r="D583" s="7"/>
      <c r="E583" s="7"/>
      <c r="G583" s="13"/>
    </row>
    <row r="584" ht="17.25" customHeight="1">
      <c r="C584" s="7"/>
      <c r="D584" s="7"/>
      <c r="E584" s="7"/>
      <c r="G584" s="13"/>
    </row>
    <row r="585" ht="17.25" customHeight="1">
      <c r="C585" s="7"/>
      <c r="D585" s="7"/>
      <c r="E585" s="7"/>
      <c r="G585" s="13"/>
    </row>
    <row r="586" ht="17.25" customHeight="1">
      <c r="C586" s="7"/>
      <c r="D586" s="7"/>
      <c r="E586" s="7"/>
      <c r="G586" s="13"/>
    </row>
    <row r="587" ht="17.25" customHeight="1">
      <c r="C587" s="7"/>
      <c r="D587" s="7"/>
      <c r="E587" s="7"/>
      <c r="G587" s="13"/>
    </row>
    <row r="588" ht="17.25" customHeight="1">
      <c r="C588" s="7"/>
      <c r="D588" s="7"/>
      <c r="E588" s="7"/>
      <c r="G588" s="13"/>
    </row>
    <row r="589" ht="17.25" customHeight="1">
      <c r="C589" s="7"/>
      <c r="D589" s="7"/>
      <c r="E589" s="7"/>
      <c r="G589" s="13"/>
    </row>
    <row r="590" ht="17.25" customHeight="1">
      <c r="C590" s="7"/>
      <c r="D590" s="7"/>
      <c r="E590" s="7"/>
      <c r="G590" s="13"/>
    </row>
    <row r="591" ht="17.25" customHeight="1">
      <c r="C591" s="7"/>
      <c r="D591" s="7"/>
      <c r="E591" s="7"/>
      <c r="G591" s="13"/>
    </row>
    <row r="592" ht="17.25" customHeight="1">
      <c r="C592" s="7"/>
      <c r="D592" s="7"/>
      <c r="E592" s="7"/>
      <c r="G592" s="13"/>
    </row>
    <row r="593" ht="17.25" customHeight="1">
      <c r="C593" s="7"/>
      <c r="D593" s="7"/>
      <c r="E593" s="7"/>
      <c r="G593" s="13"/>
    </row>
    <row r="594" ht="17.25" customHeight="1">
      <c r="C594" s="7"/>
      <c r="D594" s="7"/>
      <c r="E594" s="7"/>
      <c r="G594" s="13"/>
    </row>
    <row r="595" ht="17.25" customHeight="1">
      <c r="C595" s="7"/>
      <c r="D595" s="7"/>
      <c r="E595" s="7"/>
      <c r="G595" s="13"/>
    </row>
    <row r="596" ht="17.25" customHeight="1">
      <c r="C596" s="7"/>
      <c r="D596" s="7"/>
      <c r="E596" s="7"/>
      <c r="G596" s="13"/>
    </row>
    <row r="597" ht="17.25" customHeight="1">
      <c r="C597" s="7"/>
      <c r="D597" s="7"/>
      <c r="E597" s="7"/>
      <c r="G597" s="13"/>
    </row>
    <row r="598" ht="17.25" customHeight="1">
      <c r="C598" s="7"/>
      <c r="D598" s="7"/>
      <c r="E598" s="7"/>
      <c r="G598" s="13"/>
    </row>
    <row r="599" ht="17.25" customHeight="1">
      <c r="C599" s="7"/>
      <c r="D599" s="7"/>
      <c r="E599" s="7"/>
      <c r="G599" s="13"/>
    </row>
    <row r="600" ht="17.25" customHeight="1">
      <c r="C600" s="7"/>
      <c r="D600" s="7"/>
      <c r="E600" s="7"/>
      <c r="G600" s="13"/>
    </row>
    <row r="601" ht="17.25" customHeight="1">
      <c r="C601" s="7"/>
      <c r="D601" s="7"/>
      <c r="E601" s="7"/>
      <c r="G601" s="13"/>
    </row>
    <row r="602" ht="17.25" customHeight="1">
      <c r="C602" s="7"/>
      <c r="D602" s="7"/>
      <c r="E602" s="7"/>
      <c r="G602" s="13"/>
    </row>
    <row r="603" ht="17.25" customHeight="1">
      <c r="C603" s="7"/>
      <c r="D603" s="7"/>
      <c r="E603" s="7"/>
      <c r="G603" s="13"/>
    </row>
    <row r="604" ht="17.25" customHeight="1">
      <c r="C604" s="7"/>
      <c r="D604" s="7"/>
      <c r="E604" s="7"/>
      <c r="G604" s="13"/>
    </row>
    <row r="605" ht="17.25" customHeight="1">
      <c r="C605" s="7"/>
      <c r="D605" s="7"/>
      <c r="E605" s="7"/>
      <c r="G605" s="13"/>
    </row>
    <row r="606" ht="17.25" customHeight="1">
      <c r="C606" s="7"/>
      <c r="D606" s="7"/>
      <c r="E606" s="7"/>
      <c r="G606" s="13"/>
    </row>
    <row r="607" ht="17.25" customHeight="1">
      <c r="C607" s="7"/>
      <c r="D607" s="7"/>
      <c r="E607" s="7"/>
      <c r="G607" s="13"/>
    </row>
    <row r="608" ht="17.25" customHeight="1">
      <c r="C608" s="7"/>
      <c r="D608" s="7"/>
      <c r="E608" s="7"/>
      <c r="G608" s="13"/>
    </row>
    <row r="609" ht="17.25" customHeight="1">
      <c r="C609" s="7"/>
      <c r="D609" s="7"/>
      <c r="E609" s="7"/>
      <c r="G609" s="13"/>
    </row>
    <row r="610" ht="17.25" customHeight="1">
      <c r="C610" s="7"/>
      <c r="D610" s="7"/>
      <c r="E610" s="7"/>
      <c r="G610" s="13"/>
    </row>
    <row r="611" ht="17.25" customHeight="1">
      <c r="C611" s="7"/>
      <c r="D611" s="7"/>
      <c r="E611" s="7"/>
      <c r="G611" s="13"/>
    </row>
    <row r="612" ht="17.25" customHeight="1">
      <c r="C612" s="7"/>
      <c r="D612" s="7"/>
      <c r="E612" s="7"/>
      <c r="G612" s="13"/>
    </row>
    <row r="613" ht="17.25" customHeight="1">
      <c r="C613" s="7"/>
      <c r="D613" s="7"/>
      <c r="E613" s="7"/>
      <c r="G613" s="13"/>
    </row>
    <row r="614" ht="17.25" customHeight="1">
      <c r="C614" s="7"/>
      <c r="D614" s="7"/>
      <c r="E614" s="7"/>
      <c r="G614" s="13"/>
    </row>
    <row r="615" ht="17.25" customHeight="1">
      <c r="C615" s="7"/>
      <c r="D615" s="7"/>
      <c r="E615" s="7"/>
      <c r="G615" s="13"/>
    </row>
    <row r="616" ht="17.25" customHeight="1">
      <c r="C616" s="7"/>
      <c r="D616" s="7"/>
      <c r="E616" s="7"/>
      <c r="G616" s="13"/>
    </row>
    <row r="617" ht="17.25" customHeight="1">
      <c r="C617" s="7"/>
      <c r="D617" s="7"/>
      <c r="E617" s="7"/>
      <c r="G617" s="13"/>
    </row>
    <row r="618" ht="17.25" customHeight="1">
      <c r="C618" s="7"/>
      <c r="D618" s="7"/>
      <c r="E618" s="7"/>
      <c r="G618" s="13"/>
    </row>
    <row r="619" ht="17.25" customHeight="1">
      <c r="C619" s="7"/>
      <c r="D619" s="7"/>
      <c r="E619" s="7"/>
      <c r="G619" s="13"/>
    </row>
    <row r="620" ht="17.25" customHeight="1">
      <c r="C620" s="7"/>
      <c r="D620" s="7"/>
      <c r="E620" s="7"/>
      <c r="G620" s="13"/>
    </row>
    <row r="621" ht="17.25" customHeight="1">
      <c r="C621" s="7"/>
      <c r="D621" s="7"/>
      <c r="E621" s="7"/>
      <c r="G621" s="13"/>
    </row>
    <row r="622" ht="17.25" customHeight="1">
      <c r="C622" s="7"/>
      <c r="D622" s="7"/>
      <c r="E622" s="7"/>
      <c r="G622" s="13"/>
    </row>
    <row r="623" ht="17.25" customHeight="1">
      <c r="C623" s="7"/>
      <c r="D623" s="7"/>
      <c r="E623" s="7"/>
      <c r="G623" s="13"/>
    </row>
    <row r="624" ht="17.25" customHeight="1">
      <c r="C624" s="7"/>
      <c r="D624" s="7"/>
      <c r="E624" s="7"/>
      <c r="G624" s="13"/>
    </row>
    <row r="625" ht="17.25" customHeight="1">
      <c r="C625" s="7"/>
      <c r="D625" s="7"/>
      <c r="E625" s="7"/>
      <c r="G625" s="13"/>
    </row>
    <row r="626" ht="17.25" customHeight="1">
      <c r="C626" s="7"/>
      <c r="D626" s="7"/>
      <c r="E626" s="7"/>
      <c r="G626" s="13"/>
    </row>
    <row r="627" ht="17.25" customHeight="1">
      <c r="C627" s="7"/>
      <c r="D627" s="7"/>
      <c r="E627" s="7"/>
      <c r="G627" s="13"/>
    </row>
    <row r="628" ht="17.25" customHeight="1">
      <c r="C628" s="7"/>
      <c r="D628" s="7"/>
      <c r="E628" s="7"/>
      <c r="G628" s="13"/>
    </row>
    <row r="629" ht="17.25" customHeight="1">
      <c r="C629" s="7"/>
      <c r="D629" s="7"/>
      <c r="E629" s="7"/>
      <c r="G629" s="13"/>
    </row>
    <row r="630" ht="17.25" customHeight="1">
      <c r="C630" s="7"/>
      <c r="D630" s="7"/>
      <c r="E630" s="7"/>
      <c r="G630" s="13"/>
    </row>
    <row r="631" ht="17.25" customHeight="1">
      <c r="C631" s="7"/>
      <c r="D631" s="7"/>
      <c r="E631" s="7"/>
      <c r="G631" s="13"/>
    </row>
    <row r="632" ht="17.25" customHeight="1">
      <c r="C632" s="7"/>
      <c r="D632" s="7"/>
      <c r="E632" s="7"/>
      <c r="G632" s="13"/>
    </row>
    <row r="633" ht="17.25" customHeight="1">
      <c r="C633" s="7"/>
      <c r="D633" s="7"/>
      <c r="E633" s="7"/>
      <c r="G633" s="13"/>
    </row>
    <row r="634" ht="17.25" customHeight="1">
      <c r="C634" s="7"/>
      <c r="D634" s="7"/>
      <c r="E634" s="7"/>
      <c r="G634" s="13"/>
    </row>
    <row r="635" ht="17.25" customHeight="1">
      <c r="C635" s="7"/>
      <c r="D635" s="7"/>
      <c r="E635" s="7"/>
      <c r="G635" s="13"/>
    </row>
    <row r="636" ht="17.25" customHeight="1">
      <c r="C636" s="7"/>
      <c r="D636" s="7"/>
      <c r="E636" s="7"/>
      <c r="G636" s="13"/>
    </row>
    <row r="637" ht="17.25" customHeight="1">
      <c r="C637" s="7"/>
      <c r="D637" s="7"/>
      <c r="E637" s="7"/>
      <c r="G637" s="13"/>
    </row>
    <row r="638" ht="17.25" customHeight="1">
      <c r="C638" s="7"/>
      <c r="D638" s="7"/>
      <c r="E638" s="7"/>
      <c r="G638" s="13"/>
    </row>
    <row r="639" ht="17.25" customHeight="1">
      <c r="C639" s="7"/>
      <c r="D639" s="7"/>
      <c r="E639" s="7"/>
      <c r="G639" s="13"/>
    </row>
    <row r="640" ht="17.25" customHeight="1">
      <c r="C640" s="7"/>
      <c r="D640" s="7"/>
      <c r="E640" s="7"/>
      <c r="G640" s="13"/>
    </row>
    <row r="641" ht="17.25" customHeight="1">
      <c r="C641" s="7"/>
      <c r="D641" s="7"/>
      <c r="E641" s="7"/>
      <c r="G641" s="13"/>
    </row>
    <row r="642" ht="17.25" customHeight="1">
      <c r="C642" s="7"/>
      <c r="D642" s="7"/>
      <c r="E642" s="7"/>
      <c r="G642" s="13"/>
    </row>
    <row r="643" ht="17.25" customHeight="1">
      <c r="C643" s="7"/>
      <c r="D643" s="7"/>
      <c r="E643" s="7"/>
      <c r="G643" s="13"/>
    </row>
    <row r="644" ht="17.25" customHeight="1">
      <c r="C644" s="7"/>
      <c r="D644" s="7"/>
      <c r="E644" s="7"/>
      <c r="G644" s="13"/>
    </row>
    <row r="645" ht="17.25" customHeight="1">
      <c r="C645" s="7"/>
      <c r="D645" s="7"/>
      <c r="E645" s="7"/>
      <c r="G645" s="13"/>
    </row>
    <row r="646" ht="17.25" customHeight="1">
      <c r="C646" s="7"/>
      <c r="D646" s="7"/>
      <c r="E646" s="7"/>
      <c r="G646" s="13"/>
    </row>
    <row r="647" ht="17.25" customHeight="1">
      <c r="C647" s="7"/>
      <c r="D647" s="7"/>
      <c r="E647" s="7"/>
      <c r="G647" s="13"/>
    </row>
    <row r="648" ht="17.25" customHeight="1">
      <c r="C648" s="7"/>
      <c r="D648" s="7"/>
      <c r="E648" s="7"/>
      <c r="G648" s="13"/>
    </row>
    <row r="649" ht="17.25" customHeight="1">
      <c r="C649" s="7"/>
      <c r="D649" s="7"/>
      <c r="E649" s="7"/>
      <c r="G649" s="13"/>
    </row>
    <row r="650" ht="17.25" customHeight="1">
      <c r="C650" s="7"/>
      <c r="D650" s="7"/>
      <c r="E650" s="7"/>
      <c r="G650" s="13"/>
    </row>
    <row r="651" ht="17.25" customHeight="1">
      <c r="C651" s="7"/>
      <c r="D651" s="7"/>
      <c r="E651" s="7"/>
      <c r="G651" s="13"/>
    </row>
    <row r="652" ht="17.25" customHeight="1">
      <c r="C652" s="7"/>
      <c r="D652" s="7"/>
      <c r="E652" s="7"/>
      <c r="G652" s="13"/>
    </row>
    <row r="653" ht="17.25" customHeight="1">
      <c r="C653" s="7"/>
      <c r="D653" s="7"/>
      <c r="E653" s="7"/>
      <c r="G653" s="13"/>
    </row>
    <row r="654" ht="17.25" customHeight="1">
      <c r="C654" s="7"/>
      <c r="D654" s="7"/>
      <c r="E654" s="7"/>
      <c r="G654" s="13"/>
    </row>
    <row r="655" ht="17.25" customHeight="1">
      <c r="C655" s="7"/>
      <c r="D655" s="7"/>
      <c r="E655" s="7"/>
      <c r="G655" s="13"/>
    </row>
    <row r="656" ht="17.25" customHeight="1">
      <c r="C656" s="7"/>
      <c r="D656" s="7"/>
      <c r="E656" s="7"/>
      <c r="G656" s="13"/>
    </row>
    <row r="657" ht="17.25" customHeight="1">
      <c r="C657" s="7"/>
      <c r="D657" s="7"/>
      <c r="E657" s="7"/>
      <c r="G657" s="13"/>
    </row>
    <row r="658" ht="17.25" customHeight="1">
      <c r="C658" s="7"/>
      <c r="D658" s="7"/>
      <c r="E658" s="7"/>
      <c r="G658" s="13"/>
    </row>
    <row r="659" ht="17.25" customHeight="1">
      <c r="C659" s="7"/>
      <c r="D659" s="7"/>
      <c r="E659" s="7"/>
      <c r="G659" s="13"/>
    </row>
    <row r="660" ht="17.25" customHeight="1">
      <c r="C660" s="7"/>
      <c r="D660" s="7"/>
      <c r="E660" s="7"/>
      <c r="G660" s="13"/>
    </row>
    <row r="661" ht="17.25" customHeight="1">
      <c r="C661" s="7"/>
      <c r="D661" s="7"/>
      <c r="E661" s="7"/>
      <c r="G661" s="13"/>
    </row>
    <row r="662" ht="17.25" customHeight="1">
      <c r="C662" s="7"/>
      <c r="D662" s="7"/>
      <c r="E662" s="7"/>
      <c r="G662" s="13"/>
    </row>
    <row r="663" ht="17.25" customHeight="1">
      <c r="C663" s="7"/>
      <c r="D663" s="7"/>
      <c r="E663" s="7"/>
      <c r="G663" s="13"/>
    </row>
    <row r="664" ht="17.25" customHeight="1">
      <c r="C664" s="7"/>
      <c r="D664" s="7"/>
      <c r="E664" s="7"/>
      <c r="G664" s="13"/>
    </row>
    <row r="665" ht="17.25" customHeight="1">
      <c r="C665" s="7"/>
      <c r="D665" s="7"/>
      <c r="E665" s="7"/>
      <c r="G665" s="13"/>
    </row>
    <row r="666" ht="17.25" customHeight="1">
      <c r="C666" s="7"/>
      <c r="D666" s="7"/>
      <c r="E666" s="7"/>
      <c r="G666" s="13"/>
    </row>
    <row r="667" ht="17.25" customHeight="1">
      <c r="C667" s="7"/>
      <c r="D667" s="7"/>
      <c r="E667" s="7"/>
      <c r="G667" s="13"/>
    </row>
    <row r="668" ht="17.25" customHeight="1">
      <c r="C668" s="7"/>
      <c r="D668" s="7"/>
      <c r="E668" s="7"/>
      <c r="G668" s="13"/>
    </row>
    <row r="669" ht="17.25" customHeight="1">
      <c r="C669" s="7"/>
      <c r="D669" s="7"/>
      <c r="E669" s="7"/>
      <c r="G669" s="13"/>
    </row>
    <row r="670" ht="17.25" customHeight="1">
      <c r="C670" s="7"/>
      <c r="D670" s="7"/>
      <c r="E670" s="7"/>
      <c r="G670" s="13"/>
    </row>
    <row r="671" ht="17.25" customHeight="1">
      <c r="C671" s="7"/>
      <c r="D671" s="7"/>
      <c r="E671" s="7"/>
      <c r="G671" s="13"/>
    </row>
    <row r="672" ht="17.25" customHeight="1">
      <c r="C672" s="7"/>
      <c r="D672" s="7"/>
      <c r="E672" s="7"/>
      <c r="G672" s="13"/>
    </row>
    <row r="673" ht="17.25" customHeight="1">
      <c r="C673" s="7"/>
      <c r="D673" s="7"/>
      <c r="E673" s="7"/>
      <c r="G673" s="13"/>
    </row>
    <row r="674" ht="17.25" customHeight="1">
      <c r="C674" s="7"/>
      <c r="D674" s="7"/>
      <c r="E674" s="7"/>
      <c r="G674" s="13"/>
    </row>
    <row r="675" ht="17.25" customHeight="1">
      <c r="C675" s="7"/>
      <c r="D675" s="7"/>
      <c r="E675" s="7"/>
      <c r="G675" s="13"/>
    </row>
    <row r="676" ht="17.25" customHeight="1">
      <c r="C676" s="7"/>
      <c r="D676" s="7"/>
      <c r="E676" s="7"/>
      <c r="G676" s="13"/>
    </row>
    <row r="677" ht="17.25" customHeight="1">
      <c r="C677" s="7"/>
      <c r="D677" s="7"/>
      <c r="E677" s="7"/>
      <c r="G677" s="13"/>
    </row>
    <row r="678" ht="17.25" customHeight="1">
      <c r="C678" s="7"/>
      <c r="D678" s="7"/>
      <c r="E678" s="7"/>
      <c r="G678" s="13"/>
    </row>
    <row r="679" ht="17.25" customHeight="1">
      <c r="C679" s="7"/>
      <c r="D679" s="7"/>
      <c r="E679" s="7"/>
      <c r="G679" s="13"/>
    </row>
    <row r="680" ht="17.25" customHeight="1">
      <c r="C680" s="7"/>
      <c r="D680" s="7"/>
      <c r="E680" s="7"/>
      <c r="G680" s="13"/>
    </row>
    <row r="681" ht="17.25" customHeight="1">
      <c r="C681" s="7"/>
      <c r="D681" s="7"/>
      <c r="E681" s="7"/>
      <c r="G681" s="13"/>
    </row>
    <row r="682" ht="17.25" customHeight="1">
      <c r="C682" s="7"/>
      <c r="D682" s="7"/>
      <c r="E682" s="7"/>
      <c r="G682" s="13"/>
    </row>
    <row r="683" ht="17.25" customHeight="1">
      <c r="C683" s="7"/>
      <c r="D683" s="7"/>
      <c r="E683" s="7"/>
      <c r="G683" s="13"/>
    </row>
    <row r="684" ht="17.25" customHeight="1">
      <c r="C684" s="7"/>
      <c r="D684" s="7"/>
      <c r="E684" s="7"/>
      <c r="G684" s="13"/>
    </row>
    <row r="685" ht="17.25" customHeight="1">
      <c r="C685" s="7"/>
      <c r="D685" s="7"/>
      <c r="E685" s="7"/>
      <c r="G685" s="13"/>
    </row>
    <row r="686" ht="17.25" customHeight="1">
      <c r="C686" s="7"/>
      <c r="D686" s="7"/>
      <c r="E686" s="7"/>
      <c r="G686" s="13"/>
    </row>
    <row r="687" ht="17.25" customHeight="1">
      <c r="C687" s="7"/>
      <c r="D687" s="7"/>
      <c r="E687" s="7"/>
      <c r="G687" s="13"/>
    </row>
    <row r="688" ht="17.25" customHeight="1">
      <c r="C688" s="7"/>
      <c r="D688" s="7"/>
      <c r="E688" s="7"/>
      <c r="G688" s="13"/>
    </row>
    <row r="689" ht="17.25" customHeight="1">
      <c r="C689" s="7"/>
      <c r="D689" s="7"/>
      <c r="E689" s="7"/>
      <c r="G689" s="13"/>
    </row>
    <row r="690" ht="17.25" customHeight="1">
      <c r="C690" s="7"/>
      <c r="D690" s="7"/>
      <c r="E690" s="7"/>
      <c r="G690" s="13"/>
    </row>
    <row r="691" ht="17.25" customHeight="1">
      <c r="C691" s="7"/>
      <c r="D691" s="7"/>
      <c r="E691" s="7"/>
      <c r="G691" s="13"/>
    </row>
    <row r="692" ht="17.25" customHeight="1">
      <c r="C692" s="7"/>
      <c r="D692" s="7"/>
      <c r="E692" s="7"/>
      <c r="G692" s="13"/>
    </row>
    <row r="693" ht="17.25" customHeight="1">
      <c r="C693" s="7"/>
      <c r="D693" s="7"/>
      <c r="E693" s="7"/>
      <c r="G693" s="13"/>
    </row>
    <row r="694" ht="17.25" customHeight="1">
      <c r="C694" s="7"/>
      <c r="D694" s="7"/>
      <c r="E694" s="7"/>
      <c r="G694" s="13"/>
    </row>
    <row r="695" ht="17.25" customHeight="1">
      <c r="C695" s="7"/>
      <c r="D695" s="7"/>
      <c r="E695" s="7"/>
      <c r="G695" s="13"/>
    </row>
    <row r="696" ht="17.25" customHeight="1">
      <c r="C696" s="7"/>
      <c r="D696" s="7"/>
      <c r="E696" s="7"/>
      <c r="G696" s="13"/>
    </row>
    <row r="697" ht="17.25" customHeight="1">
      <c r="C697" s="7"/>
      <c r="D697" s="7"/>
      <c r="E697" s="7"/>
      <c r="G697" s="13"/>
    </row>
    <row r="698" ht="17.25" customHeight="1">
      <c r="C698" s="7"/>
      <c r="D698" s="7"/>
      <c r="E698" s="7"/>
      <c r="G698" s="13"/>
    </row>
    <row r="699" ht="17.25" customHeight="1">
      <c r="C699" s="7"/>
      <c r="D699" s="7"/>
      <c r="E699" s="7"/>
      <c r="G699" s="13"/>
    </row>
    <row r="700" ht="17.25" customHeight="1">
      <c r="C700" s="7"/>
      <c r="D700" s="7"/>
      <c r="E700" s="7"/>
      <c r="G700" s="13"/>
    </row>
    <row r="701" ht="17.25" customHeight="1">
      <c r="C701" s="7"/>
      <c r="D701" s="7"/>
      <c r="E701" s="7"/>
      <c r="G701" s="13"/>
    </row>
    <row r="702" ht="17.25" customHeight="1">
      <c r="C702" s="7"/>
      <c r="D702" s="7"/>
      <c r="E702" s="7"/>
      <c r="G702" s="13"/>
    </row>
    <row r="703" ht="17.25" customHeight="1">
      <c r="C703" s="7"/>
      <c r="D703" s="7"/>
      <c r="E703" s="7"/>
      <c r="G703" s="13"/>
    </row>
    <row r="704" ht="17.25" customHeight="1">
      <c r="C704" s="7"/>
      <c r="D704" s="7"/>
      <c r="E704" s="7"/>
      <c r="G704" s="13"/>
    </row>
    <row r="705" ht="17.25" customHeight="1">
      <c r="C705" s="7"/>
      <c r="D705" s="7"/>
      <c r="E705" s="7"/>
      <c r="G705" s="13"/>
    </row>
    <row r="706" ht="17.25" customHeight="1">
      <c r="C706" s="7"/>
      <c r="D706" s="7"/>
      <c r="E706" s="7"/>
      <c r="G706" s="13"/>
    </row>
    <row r="707" ht="17.25" customHeight="1">
      <c r="C707" s="7"/>
      <c r="D707" s="7"/>
      <c r="E707" s="7"/>
      <c r="G707" s="13"/>
    </row>
    <row r="708" ht="17.25" customHeight="1">
      <c r="C708" s="7"/>
      <c r="D708" s="7"/>
      <c r="E708" s="7"/>
      <c r="G708" s="13"/>
    </row>
    <row r="709" ht="17.25" customHeight="1">
      <c r="C709" s="7"/>
      <c r="D709" s="7"/>
      <c r="E709" s="7"/>
      <c r="G709" s="13"/>
    </row>
    <row r="710" ht="17.25" customHeight="1">
      <c r="C710" s="7"/>
      <c r="D710" s="7"/>
      <c r="E710" s="7"/>
      <c r="G710" s="13"/>
    </row>
    <row r="711" ht="17.25" customHeight="1">
      <c r="C711" s="7"/>
      <c r="D711" s="7"/>
      <c r="E711" s="7"/>
      <c r="G711" s="13"/>
    </row>
    <row r="712" ht="17.25" customHeight="1">
      <c r="C712" s="7"/>
      <c r="D712" s="7"/>
      <c r="E712" s="7"/>
      <c r="G712" s="13"/>
    </row>
    <row r="713" ht="17.25" customHeight="1">
      <c r="C713" s="7"/>
      <c r="D713" s="7"/>
      <c r="E713" s="7"/>
      <c r="G713" s="13"/>
    </row>
    <row r="714" ht="17.25" customHeight="1">
      <c r="C714" s="7"/>
      <c r="D714" s="7"/>
      <c r="E714" s="7"/>
      <c r="G714" s="13"/>
    </row>
    <row r="715" ht="17.25" customHeight="1">
      <c r="C715" s="7"/>
      <c r="D715" s="7"/>
      <c r="E715" s="7"/>
      <c r="G715" s="13"/>
    </row>
    <row r="716" ht="17.25" customHeight="1">
      <c r="C716" s="7"/>
      <c r="D716" s="7"/>
      <c r="E716" s="7"/>
      <c r="G716" s="13"/>
    </row>
    <row r="717" ht="17.25" customHeight="1">
      <c r="C717" s="7"/>
      <c r="D717" s="7"/>
      <c r="E717" s="7"/>
      <c r="G717" s="13"/>
    </row>
    <row r="718" ht="17.25" customHeight="1">
      <c r="C718" s="7"/>
      <c r="D718" s="7"/>
      <c r="E718" s="7"/>
      <c r="G718" s="13"/>
    </row>
    <row r="719" ht="17.25" customHeight="1">
      <c r="C719" s="7"/>
      <c r="D719" s="7"/>
      <c r="E719" s="7"/>
      <c r="G719" s="13"/>
    </row>
    <row r="720" ht="17.25" customHeight="1">
      <c r="C720" s="7"/>
      <c r="D720" s="7"/>
      <c r="E720" s="7"/>
      <c r="G720" s="13"/>
    </row>
    <row r="721" ht="17.25" customHeight="1">
      <c r="C721" s="7"/>
      <c r="D721" s="7"/>
      <c r="E721" s="7"/>
      <c r="G721" s="13"/>
    </row>
    <row r="722" ht="17.25" customHeight="1">
      <c r="C722" s="7"/>
      <c r="D722" s="7"/>
      <c r="E722" s="7"/>
      <c r="G722" s="13"/>
    </row>
    <row r="723" ht="17.25" customHeight="1">
      <c r="C723" s="7"/>
      <c r="D723" s="7"/>
      <c r="E723" s="7"/>
      <c r="G723" s="13"/>
    </row>
    <row r="724" ht="17.25" customHeight="1">
      <c r="C724" s="7"/>
      <c r="D724" s="7"/>
      <c r="E724" s="7"/>
      <c r="G724" s="13"/>
    </row>
    <row r="725" ht="17.25" customHeight="1">
      <c r="C725" s="7"/>
      <c r="D725" s="7"/>
      <c r="E725" s="7"/>
      <c r="G725" s="13"/>
    </row>
    <row r="726" ht="17.25" customHeight="1">
      <c r="C726" s="7"/>
      <c r="D726" s="7"/>
      <c r="E726" s="7"/>
      <c r="G726" s="13"/>
    </row>
    <row r="727" ht="17.25" customHeight="1">
      <c r="C727" s="7"/>
      <c r="D727" s="7"/>
      <c r="E727" s="7"/>
      <c r="G727" s="13"/>
    </row>
    <row r="728" ht="17.25" customHeight="1">
      <c r="C728" s="7"/>
      <c r="D728" s="7"/>
      <c r="E728" s="7"/>
      <c r="G728" s="13"/>
    </row>
    <row r="729" ht="17.25" customHeight="1">
      <c r="C729" s="7"/>
      <c r="D729" s="7"/>
      <c r="E729" s="7"/>
      <c r="G729" s="13"/>
    </row>
    <row r="730" ht="17.25" customHeight="1">
      <c r="C730" s="7"/>
      <c r="D730" s="7"/>
      <c r="E730" s="7"/>
      <c r="G730" s="13"/>
    </row>
    <row r="731" ht="17.25" customHeight="1">
      <c r="C731" s="7"/>
      <c r="D731" s="7"/>
      <c r="E731" s="7"/>
      <c r="G731" s="13"/>
    </row>
    <row r="732" ht="17.25" customHeight="1">
      <c r="C732" s="7"/>
      <c r="D732" s="7"/>
      <c r="E732" s="7"/>
      <c r="G732" s="13"/>
    </row>
    <row r="733" ht="17.25" customHeight="1">
      <c r="C733" s="7"/>
      <c r="D733" s="7"/>
      <c r="E733" s="7"/>
      <c r="G733" s="13"/>
    </row>
    <row r="734" ht="17.25" customHeight="1">
      <c r="C734" s="7"/>
      <c r="D734" s="7"/>
      <c r="E734" s="7"/>
      <c r="G734" s="13"/>
    </row>
    <row r="735" ht="17.25" customHeight="1">
      <c r="C735" s="7"/>
      <c r="D735" s="7"/>
      <c r="E735" s="7"/>
      <c r="G735" s="13"/>
    </row>
    <row r="736" ht="17.25" customHeight="1">
      <c r="C736" s="7"/>
      <c r="D736" s="7"/>
      <c r="E736" s="7"/>
      <c r="G736" s="13"/>
    </row>
    <row r="737" ht="17.25" customHeight="1">
      <c r="C737" s="7"/>
      <c r="D737" s="7"/>
      <c r="E737" s="7"/>
      <c r="G737" s="13"/>
    </row>
    <row r="738" ht="17.25" customHeight="1">
      <c r="C738" s="7"/>
      <c r="D738" s="7"/>
      <c r="E738" s="7"/>
      <c r="G738" s="13"/>
    </row>
    <row r="739" ht="17.25" customHeight="1">
      <c r="C739" s="7"/>
      <c r="D739" s="7"/>
      <c r="E739" s="7"/>
      <c r="G739" s="13"/>
    </row>
    <row r="740" ht="17.25" customHeight="1">
      <c r="C740" s="7"/>
      <c r="D740" s="7"/>
      <c r="E740" s="7"/>
      <c r="G740" s="13"/>
    </row>
    <row r="741" ht="17.25" customHeight="1">
      <c r="C741" s="7"/>
      <c r="D741" s="7"/>
      <c r="E741" s="7"/>
      <c r="G741" s="13"/>
    </row>
    <row r="742" ht="17.25" customHeight="1">
      <c r="C742" s="7"/>
      <c r="D742" s="7"/>
      <c r="E742" s="7"/>
      <c r="G742" s="13"/>
    </row>
    <row r="743" ht="17.25" customHeight="1">
      <c r="C743" s="7"/>
      <c r="D743" s="7"/>
      <c r="E743" s="7"/>
      <c r="G743" s="13"/>
    </row>
    <row r="744" ht="17.25" customHeight="1">
      <c r="C744" s="7"/>
      <c r="D744" s="7"/>
      <c r="E744" s="7"/>
      <c r="G744" s="13"/>
    </row>
    <row r="745" ht="17.25" customHeight="1">
      <c r="C745" s="7"/>
      <c r="D745" s="7"/>
      <c r="E745" s="7"/>
      <c r="G745" s="13"/>
    </row>
    <row r="746" ht="17.25" customHeight="1">
      <c r="C746" s="7"/>
      <c r="D746" s="7"/>
      <c r="E746" s="7"/>
      <c r="G746" s="13"/>
    </row>
    <row r="747" ht="17.25" customHeight="1">
      <c r="C747" s="7"/>
      <c r="D747" s="7"/>
      <c r="E747" s="7"/>
      <c r="G747" s="13"/>
    </row>
    <row r="748" ht="17.25" customHeight="1">
      <c r="C748" s="7"/>
      <c r="D748" s="7"/>
      <c r="E748" s="7"/>
      <c r="G748" s="13"/>
    </row>
    <row r="749" ht="17.25" customHeight="1">
      <c r="C749" s="7"/>
      <c r="D749" s="7"/>
      <c r="E749" s="7"/>
      <c r="G749" s="13"/>
    </row>
    <row r="750" ht="17.25" customHeight="1">
      <c r="C750" s="7"/>
      <c r="D750" s="7"/>
      <c r="E750" s="7"/>
      <c r="G750" s="13"/>
    </row>
    <row r="751" ht="17.25" customHeight="1">
      <c r="C751" s="7"/>
      <c r="D751" s="7"/>
      <c r="E751" s="7"/>
      <c r="G751" s="13"/>
    </row>
    <row r="752" ht="17.25" customHeight="1">
      <c r="C752" s="7"/>
      <c r="D752" s="7"/>
      <c r="E752" s="7"/>
      <c r="G752" s="13"/>
    </row>
    <row r="753" ht="17.25" customHeight="1">
      <c r="C753" s="7"/>
      <c r="D753" s="7"/>
      <c r="E753" s="7"/>
      <c r="G753" s="13"/>
    </row>
    <row r="754" ht="17.25" customHeight="1">
      <c r="C754" s="7"/>
      <c r="D754" s="7"/>
      <c r="E754" s="7"/>
      <c r="G754" s="13"/>
    </row>
    <row r="755" ht="17.25" customHeight="1">
      <c r="C755" s="7"/>
      <c r="D755" s="7"/>
      <c r="E755" s="7"/>
      <c r="G755" s="13"/>
    </row>
    <row r="756" ht="17.25" customHeight="1">
      <c r="C756" s="7"/>
      <c r="D756" s="7"/>
      <c r="E756" s="7"/>
      <c r="G756" s="13"/>
    </row>
    <row r="757" ht="17.25" customHeight="1">
      <c r="C757" s="7"/>
      <c r="D757" s="7"/>
      <c r="E757" s="7"/>
      <c r="G757" s="13"/>
    </row>
    <row r="758" ht="17.25" customHeight="1">
      <c r="C758" s="7"/>
      <c r="D758" s="7"/>
      <c r="E758" s="7"/>
      <c r="G758" s="13"/>
    </row>
    <row r="759" ht="17.25" customHeight="1">
      <c r="C759" s="7"/>
      <c r="D759" s="7"/>
      <c r="E759" s="7"/>
      <c r="G759" s="13"/>
    </row>
    <row r="760" ht="17.25" customHeight="1">
      <c r="C760" s="7"/>
      <c r="D760" s="7"/>
      <c r="E760" s="7"/>
      <c r="G760" s="13"/>
    </row>
    <row r="761" ht="17.25" customHeight="1">
      <c r="C761" s="7"/>
      <c r="D761" s="7"/>
      <c r="E761" s="7"/>
      <c r="G761" s="13"/>
    </row>
    <row r="762" ht="17.25" customHeight="1">
      <c r="C762" s="7"/>
      <c r="D762" s="7"/>
      <c r="E762" s="7"/>
      <c r="G762" s="13"/>
    </row>
    <row r="763" ht="17.25" customHeight="1">
      <c r="C763" s="7"/>
      <c r="D763" s="7"/>
      <c r="E763" s="7"/>
      <c r="G763" s="13"/>
    </row>
    <row r="764" ht="17.25" customHeight="1">
      <c r="C764" s="7"/>
      <c r="D764" s="7"/>
      <c r="E764" s="7"/>
      <c r="G764" s="13"/>
    </row>
    <row r="765" ht="17.25" customHeight="1">
      <c r="C765" s="7"/>
      <c r="D765" s="7"/>
      <c r="E765" s="7"/>
      <c r="G765" s="13"/>
    </row>
    <row r="766" ht="17.25" customHeight="1">
      <c r="C766" s="7"/>
      <c r="D766" s="7"/>
      <c r="E766" s="7"/>
      <c r="G766" s="13"/>
    </row>
    <row r="767" ht="17.25" customHeight="1">
      <c r="C767" s="7"/>
      <c r="D767" s="7"/>
      <c r="E767" s="7"/>
      <c r="G767" s="13"/>
    </row>
    <row r="768" ht="17.25" customHeight="1">
      <c r="C768" s="7"/>
      <c r="D768" s="7"/>
      <c r="E768" s="7"/>
      <c r="G768" s="13"/>
    </row>
    <row r="769" ht="17.25" customHeight="1">
      <c r="C769" s="7"/>
      <c r="D769" s="7"/>
      <c r="E769" s="7"/>
      <c r="G769" s="13"/>
    </row>
    <row r="770" ht="17.25" customHeight="1">
      <c r="C770" s="7"/>
      <c r="D770" s="7"/>
      <c r="E770" s="7"/>
      <c r="G770" s="13"/>
    </row>
    <row r="771" ht="17.25" customHeight="1">
      <c r="C771" s="7"/>
      <c r="D771" s="7"/>
      <c r="E771" s="7"/>
      <c r="G771" s="13"/>
    </row>
    <row r="772" ht="17.25" customHeight="1">
      <c r="C772" s="7"/>
      <c r="D772" s="7"/>
      <c r="E772" s="7"/>
      <c r="G772" s="13"/>
    </row>
    <row r="773" ht="17.25" customHeight="1">
      <c r="C773" s="7"/>
      <c r="D773" s="7"/>
      <c r="E773" s="7"/>
      <c r="G773" s="13"/>
    </row>
    <row r="774" ht="17.25" customHeight="1">
      <c r="C774" s="7"/>
      <c r="D774" s="7"/>
      <c r="E774" s="7"/>
      <c r="G774" s="13"/>
    </row>
    <row r="775" ht="17.25" customHeight="1">
      <c r="C775" s="7"/>
      <c r="D775" s="7"/>
      <c r="E775" s="7"/>
      <c r="G775" s="13"/>
    </row>
    <row r="776" ht="17.25" customHeight="1">
      <c r="C776" s="7"/>
      <c r="D776" s="7"/>
      <c r="E776" s="7"/>
      <c r="G776" s="13"/>
    </row>
    <row r="777" ht="17.25" customHeight="1">
      <c r="C777" s="7"/>
      <c r="D777" s="7"/>
      <c r="E777" s="7"/>
      <c r="G777" s="13"/>
    </row>
    <row r="778" ht="17.25" customHeight="1">
      <c r="C778" s="7"/>
      <c r="D778" s="7"/>
      <c r="E778" s="7"/>
      <c r="G778" s="13"/>
    </row>
    <row r="779" ht="17.25" customHeight="1">
      <c r="C779" s="7"/>
      <c r="D779" s="7"/>
      <c r="E779" s="7"/>
      <c r="G779" s="13"/>
    </row>
    <row r="780" ht="17.25" customHeight="1">
      <c r="C780" s="7"/>
      <c r="D780" s="7"/>
      <c r="E780" s="7"/>
      <c r="G780" s="13"/>
    </row>
    <row r="781" ht="17.25" customHeight="1">
      <c r="C781" s="7"/>
      <c r="D781" s="7"/>
      <c r="E781" s="7"/>
      <c r="G781" s="13"/>
    </row>
    <row r="782" ht="17.25" customHeight="1">
      <c r="C782" s="7"/>
      <c r="D782" s="7"/>
      <c r="E782" s="7"/>
      <c r="G782" s="13"/>
    </row>
    <row r="783" ht="17.25" customHeight="1">
      <c r="C783" s="7"/>
      <c r="D783" s="7"/>
      <c r="E783" s="7"/>
      <c r="G783" s="13"/>
    </row>
    <row r="784" ht="17.25" customHeight="1">
      <c r="C784" s="7"/>
      <c r="D784" s="7"/>
      <c r="E784" s="7"/>
      <c r="G784" s="13"/>
    </row>
    <row r="785" ht="17.25" customHeight="1">
      <c r="C785" s="7"/>
      <c r="D785" s="7"/>
      <c r="E785" s="7"/>
      <c r="G785" s="13"/>
    </row>
    <row r="786" ht="17.25" customHeight="1">
      <c r="C786" s="7"/>
      <c r="D786" s="7"/>
      <c r="E786" s="7"/>
      <c r="G786" s="13"/>
    </row>
    <row r="787" ht="17.25" customHeight="1">
      <c r="C787" s="7"/>
      <c r="D787" s="7"/>
      <c r="E787" s="7"/>
      <c r="G787" s="13"/>
    </row>
    <row r="788" ht="17.25" customHeight="1">
      <c r="C788" s="7"/>
      <c r="D788" s="7"/>
      <c r="E788" s="7"/>
      <c r="G788" s="13"/>
    </row>
    <row r="789" ht="17.25" customHeight="1">
      <c r="C789" s="7"/>
      <c r="D789" s="7"/>
      <c r="E789" s="7"/>
      <c r="G789" s="13"/>
    </row>
    <row r="790" ht="17.25" customHeight="1">
      <c r="C790" s="7"/>
      <c r="D790" s="7"/>
      <c r="E790" s="7"/>
      <c r="G790" s="13"/>
    </row>
    <row r="791" ht="17.25" customHeight="1">
      <c r="C791" s="7"/>
      <c r="D791" s="7"/>
      <c r="E791" s="7"/>
      <c r="G791" s="13"/>
    </row>
    <row r="792" ht="17.25" customHeight="1">
      <c r="C792" s="7"/>
      <c r="D792" s="7"/>
      <c r="E792" s="7"/>
      <c r="G792" s="13"/>
    </row>
    <row r="793" ht="17.25" customHeight="1">
      <c r="C793" s="7"/>
      <c r="D793" s="7"/>
      <c r="E793" s="7"/>
      <c r="G793" s="13"/>
    </row>
    <row r="794" ht="17.25" customHeight="1">
      <c r="C794" s="7"/>
      <c r="D794" s="7"/>
      <c r="E794" s="7"/>
      <c r="G794" s="13"/>
    </row>
    <row r="795" ht="17.25" customHeight="1">
      <c r="C795" s="7"/>
      <c r="D795" s="7"/>
      <c r="E795" s="7"/>
      <c r="G795" s="13"/>
    </row>
    <row r="796" ht="17.25" customHeight="1">
      <c r="C796" s="7"/>
      <c r="D796" s="7"/>
      <c r="E796" s="7"/>
      <c r="G796" s="13"/>
    </row>
    <row r="797" ht="17.25" customHeight="1">
      <c r="C797" s="7"/>
      <c r="D797" s="7"/>
      <c r="E797" s="7"/>
      <c r="G797" s="13"/>
    </row>
    <row r="798" ht="17.25" customHeight="1">
      <c r="C798" s="7"/>
      <c r="D798" s="7"/>
      <c r="E798" s="7"/>
      <c r="G798" s="13"/>
    </row>
    <row r="799" ht="17.25" customHeight="1">
      <c r="C799" s="7"/>
      <c r="D799" s="7"/>
      <c r="E799" s="7"/>
      <c r="G799" s="13"/>
    </row>
    <row r="800" ht="17.25" customHeight="1">
      <c r="C800" s="7"/>
      <c r="D800" s="7"/>
      <c r="E800" s="7"/>
      <c r="G800" s="13"/>
    </row>
    <row r="801" ht="17.25" customHeight="1">
      <c r="C801" s="7"/>
      <c r="D801" s="7"/>
      <c r="E801" s="7"/>
      <c r="G801" s="13"/>
    </row>
    <row r="802" ht="17.25" customHeight="1">
      <c r="C802" s="7"/>
      <c r="D802" s="7"/>
      <c r="E802" s="7"/>
      <c r="G802" s="13"/>
    </row>
    <row r="803" ht="17.25" customHeight="1">
      <c r="C803" s="7"/>
      <c r="D803" s="7"/>
      <c r="E803" s="7"/>
      <c r="G803" s="13"/>
    </row>
    <row r="804" ht="17.25" customHeight="1">
      <c r="C804" s="7"/>
      <c r="D804" s="7"/>
      <c r="E804" s="7"/>
      <c r="G804" s="13"/>
    </row>
    <row r="805" ht="17.25" customHeight="1">
      <c r="C805" s="7"/>
      <c r="D805" s="7"/>
      <c r="E805" s="7"/>
      <c r="G805" s="13"/>
    </row>
    <row r="806" ht="17.25" customHeight="1">
      <c r="C806" s="7"/>
      <c r="D806" s="7"/>
      <c r="E806" s="7"/>
      <c r="G806" s="13"/>
    </row>
    <row r="807" ht="17.25" customHeight="1">
      <c r="C807" s="7"/>
      <c r="D807" s="7"/>
      <c r="E807" s="7"/>
      <c r="G807" s="13"/>
    </row>
    <row r="808" ht="17.25" customHeight="1">
      <c r="C808" s="7"/>
      <c r="D808" s="7"/>
      <c r="E808" s="7"/>
      <c r="G808" s="13"/>
    </row>
    <row r="809" ht="17.25" customHeight="1">
      <c r="C809" s="7"/>
      <c r="D809" s="7"/>
      <c r="E809" s="7"/>
      <c r="G809" s="13"/>
    </row>
    <row r="810" ht="17.25" customHeight="1">
      <c r="C810" s="7"/>
      <c r="D810" s="7"/>
      <c r="E810" s="7"/>
      <c r="G810" s="13"/>
    </row>
    <row r="811" ht="17.25" customHeight="1">
      <c r="C811" s="7"/>
      <c r="D811" s="7"/>
      <c r="E811" s="7"/>
      <c r="G811" s="13"/>
    </row>
    <row r="812" ht="17.25" customHeight="1">
      <c r="C812" s="7"/>
      <c r="D812" s="7"/>
      <c r="E812" s="7"/>
      <c r="G812" s="13"/>
    </row>
    <row r="813" ht="17.25" customHeight="1">
      <c r="C813" s="7"/>
      <c r="D813" s="7"/>
      <c r="E813" s="7"/>
      <c r="G813" s="13"/>
    </row>
    <row r="814" ht="17.25" customHeight="1">
      <c r="C814" s="7"/>
      <c r="D814" s="7"/>
      <c r="E814" s="7"/>
      <c r="G814" s="13"/>
    </row>
    <row r="815" ht="17.25" customHeight="1">
      <c r="C815" s="7"/>
      <c r="D815" s="7"/>
      <c r="E815" s="7"/>
      <c r="G815" s="13"/>
    </row>
    <row r="816" ht="17.25" customHeight="1">
      <c r="C816" s="7"/>
      <c r="D816" s="7"/>
      <c r="E816" s="7"/>
      <c r="G816" s="13"/>
    </row>
    <row r="817" ht="17.25" customHeight="1">
      <c r="C817" s="7"/>
      <c r="D817" s="7"/>
      <c r="E817" s="7"/>
      <c r="G817" s="13"/>
    </row>
    <row r="818" ht="17.25" customHeight="1">
      <c r="C818" s="7"/>
      <c r="D818" s="7"/>
      <c r="E818" s="7"/>
      <c r="G818" s="13"/>
    </row>
    <row r="819" ht="17.25" customHeight="1">
      <c r="C819" s="7"/>
      <c r="D819" s="7"/>
      <c r="E819" s="7"/>
      <c r="G819" s="13"/>
    </row>
    <row r="820" ht="17.25" customHeight="1">
      <c r="C820" s="7"/>
      <c r="D820" s="7"/>
      <c r="E820" s="7"/>
      <c r="G820" s="13"/>
    </row>
    <row r="821" ht="17.25" customHeight="1">
      <c r="C821" s="7"/>
      <c r="D821" s="7"/>
      <c r="E821" s="7"/>
      <c r="G821" s="13"/>
    </row>
    <row r="822" ht="17.25" customHeight="1">
      <c r="C822" s="7"/>
      <c r="D822" s="7"/>
      <c r="E822" s="7"/>
      <c r="G822" s="13"/>
    </row>
    <row r="823" ht="17.25" customHeight="1">
      <c r="C823" s="7"/>
      <c r="D823" s="7"/>
      <c r="E823" s="7"/>
      <c r="G823" s="13"/>
    </row>
    <row r="824" ht="17.25" customHeight="1">
      <c r="C824" s="7"/>
      <c r="D824" s="7"/>
      <c r="E824" s="7"/>
      <c r="G824" s="13"/>
    </row>
    <row r="825" ht="17.25" customHeight="1">
      <c r="C825" s="7"/>
      <c r="D825" s="7"/>
      <c r="E825" s="7"/>
      <c r="G825" s="13"/>
    </row>
    <row r="826" ht="17.25" customHeight="1">
      <c r="C826" s="7"/>
      <c r="D826" s="7"/>
      <c r="E826" s="7"/>
      <c r="G826" s="13"/>
    </row>
    <row r="827" ht="17.25" customHeight="1">
      <c r="C827" s="7"/>
      <c r="D827" s="7"/>
      <c r="E827" s="7"/>
      <c r="G827" s="13"/>
    </row>
    <row r="828" ht="17.25" customHeight="1">
      <c r="C828" s="7"/>
      <c r="D828" s="7"/>
      <c r="E828" s="7"/>
      <c r="G828" s="13"/>
    </row>
    <row r="829" ht="17.25" customHeight="1">
      <c r="C829" s="7"/>
      <c r="D829" s="7"/>
      <c r="E829" s="7"/>
      <c r="G829" s="13"/>
    </row>
    <row r="830" ht="17.25" customHeight="1">
      <c r="C830" s="7"/>
      <c r="D830" s="7"/>
      <c r="E830" s="7"/>
      <c r="G830" s="13"/>
    </row>
    <row r="831" ht="17.25" customHeight="1">
      <c r="C831" s="7"/>
      <c r="D831" s="7"/>
      <c r="E831" s="7"/>
      <c r="G831" s="13"/>
    </row>
    <row r="832" ht="17.25" customHeight="1">
      <c r="C832" s="7"/>
      <c r="D832" s="7"/>
      <c r="E832" s="7"/>
      <c r="G832" s="13"/>
    </row>
    <row r="833" ht="17.25" customHeight="1">
      <c r="C833" s="7"/>
      <c r="D833" s="7"/>
      <c r="E833" s="7"/>
      <c r="G833" s="13"/>
    </row>
    <row r="834" ht="17.25" customHeight="1">
      <c r="C834" s="7"/>
      <c r="D834" s="7"/>
      <c r="E834" s="7"/>
      <c r="G834" s="13"/>
    </row>
    <row r="835" ht="17.25" customHeight="1">
      <c r="C835" s="7"/>
      <c r="D835" s="7"/>
      <c r="E835" s="7"/>
      <c r="G835" s="13"/>
    </row>
    <row r="836" ht="17.25" customHeight="1">
      <c r="C836" s="7"/>
      <c r="D836" s="7"/>
      <c r="E836" s="7"/>
      <c r="G836" s="13"/>
    </row>
    <row r="837" ht="17.25" customHeight="1">
      <c r="C837" s="7"/>
      <c r="D837" s="7"/>
      <c r="E837" s="7"/>
      <c r="G837" s="13"/>
    </row>
    <row r="838" ht="17.25" customHeight="1">
      <c r="C838" s="7"/>
      <c r="D838" s="7"/>
      <c r="E838" s="7"/>
      <c r="G838" s="13"/>
    </row>
    <row r="839" ht="17.25" customHeight="1">
      <c r="C839" s="7"/>
      <c r="D839" s="7"/>
      <c r="E839" s="7"/>
      <c r="G839" s="13"/>
    </row>
    <row r="840" ht="17.25" customHeight="1">
      <c r="C840" s="7"/>
      <c r="D840" s="7"/>
      <c r="E840" s="7"/>
      <c r="G840" s="13"/>
    </row>
    <row r="841" ht="17.25" customHeight="1">
      <c r="C841" s="7"/>
      <c r="D841" s="7"/>
      <c r="E841" s="7"/>
      <c r="G841" s="13"/>
    </row>
    <row r="842" ht="17.25" customHeight="1">
      <c r="C842" s="7"/>
      <c r="D842" s="7"/>
      <c r="E842" s="7"/>
      <c r="G842" s="13"/>
    </row>
    <row r="843" ht="17.25" customHeight="1">
      <c r="C843" s="7"/>
      <c r="D843" s="7"/>
      <c r="E843" s="7"/>
      <c r="G843" s="13"/>
    </row>
    <row r="844" ht="17.25" customHeight="1">
      <c r="C844" s="7"/>
      <c r="D844" s="7"/>
      <c r="E844" s="7"/>
      <c r="G844" s="13"/>
    </row>
    <row r="845" ht="17.25" customHeight="1">
      <c r="C845" s="7"/>
      <c r="D845" s="7"/>
      <c r="E845" s="7"/>
      <c r="G845" s="13"/>
    </row>
    <row r="846" ht="17.25" customHeight="1">
      <c r="C846" s="7"/>
      <c r="D846" s="7"/>
      <c r="E846" s="7"/>
      <c r="G846" s="13"/>
    </row>
    <row r="847" ht="17.25" customHeight="1">
      <c r="C847" s="7"/>
      <c r="D847" s="7"/>
      <c r="E847" s="7"/>
      <c r="G847" s="13"/>
    </row>
    <row r="848" ht="17.25" customHeight="1">
      <c r="C848" s="7"/>
      <c r="D848" s="7"/>
      <c r="E848" s="7"/>
      <c r="G848" s="13"/>
    </row>
    <row r="849" ht="17.25" customHeight="1">
      <c r="C849" s="7"/>
      <c r="D849" s="7"/>
      <c r="E849" s="7"/>
      <c r="G849" s="13"/>
    </row>
    <row r="850" ht="17.25" customHeight="1">
      <c r="C850" s="7"/>
      <c r="D850" s="7"/>
      <c r="E850" s="7"/>
      <c r="G850" s="13"/>
    </row>
    <row r="851" ht="17.25" customHeight="1">
      <c r="C851" s="7"/>
      <c r="D851" s="7"/>
      <c r="E851" s="7"/>
      <c r="G851" s="13"/>
    </row>
    <row r="852" ht="17.25" customHeight="1">
      <c r="C852" s="7"/>
      <c r="D852" s="7"/>
      <c r="E852" s="7"/>
      <c r="G852" s="13"/>
    </row>
    <row r="853" ht="17.25" customHeight="1">
      <c r="C853" s="7"/>
      <c r="D853" s="7"/>
      <c r="E853" s="7"/>
      <c r="G853" s="13"/>
    </row>
    <row r="854" ht="17.25" customHeight="1">
      <c r="C854" s="7"/>
      <c r="D854" s="7"/>
      <c r="E854" s="7"/>
      <c r="G854" s="13"/>
    </row>
    <row r="855" ht="17.25" customHeight="1">
      <c r="C855" s="7"/>
      <c r="D855" s="7"/>
      <c r="E855" s="7"/>
      <c r="G855" s="13"/>
    </row>
    <row r="856" ht="17.25" customHeight="1">
      <c r="C856" s="7"/>
      <c r="D856" s="7"/>
      <c r="E856" s="7"/>
      <c r="G856" s="13"/>
    </row>
    <row r="857" ht="17.25" customHeight="1">
      <c r="C857" s="7"/>
      <c r="D857" s="7"/>
      <c r="E857" s="7"/>
      <c r="G857" s="13"/>
    </row>
    <row r="858" ht="17.25" customHeight="1">
      <c r="C858" s="7"/>
      <c r="D858" s="7"/>
      <c r="E858" s="7"/>
      <c r="G858" s="13"/>
    </row>
    <row r="859" ht="17.25" customHeight="1">
      <c r="C859" s="7"/>
      <c r="D859" s="7"/>
      <c r="E859" s="7"/>
      <c r="G859" s="13"/>
    </row>
    <row r="860" ht="17.25" customHeight="1">
      <c r="C860" s="7"/>
      <c r="D860" s="7"/>
      <c r="E860" s="7"/>
      <c r="G860" s="13"/>
    </row>
    <row r="861" ht="17.25" customHeight="1">
      <c r="C861" s="7"/>
      <c r="D861" s="7"/>
      <c r="E861" s="7"/>
      <c r="G861" s="13"/>
    </row>
    <row r="862" ht="17.25" customHeight="1">
      <c r="C862" s="7"/>
      <c r="D862" s="7"/>
      <c r="E862" s="7"/>
      <c r="G862" s="13"/>
    </row>
    <row r="863" ht="17.25" customHeight="1">
      <c r="C863" s="7"/>
      <c r="D863" s="7"/>
      <c r="E863" s="7"/>
      <c r="G863" s="13"/>
    </row>
    <row r="864" ht="17.25" customHeight="1">
      <c r="C864" s="7"/>
      <c r="D864" s="7"/>
      <c r="E864" s="7"/>
      <c r="G864" s="13"/>
    </row>
    <row r="865" ht="17.25" customHeight="1">
      <c r="C865" s="7"/>
      <c r="D865" s="7"/>
      <c r="E865" s="7"/>
      <c r="G865" s="13"/>
    </row>
    <row r="866" ht="17.25" customHeight="1">
      <c r="C866" s="7"/>
      <c r="D866" s="7"/>
      <c r="E866" s="7"/>
      <c r="G866" s="13"/>
    </row>
    <row r="867" ht="17.25" customHeight="1">
      <c r="C867" s="7"/>
      <c r="D867" s="7"/>
      <c r="E867" s="7"/>
      <c r="G867" s="13"/>
    </row>
    <row r="868" ht="17.25" customHeight="1">
      <c r="C868" s="7"/>
      <c r="D868" s="7"/>
      <c r="E868" s="7"/>
      <c r="G868" s="13"/>
    </row>
    <row r="869" ht="17.25" customHeight="1">
      <c r="C869" s="7"/>
      <c r="D869" s="7"/>
      <c r="E869" s="7"/>
      <c r="G869" s="13"/>
    </row>
    <row r="870" ht="17.25" customHeight="1">
      <c r="C870" s="7"/>
      <c r="D870" s="7"/>
      <c r="E870" s="7"/>
      <c r="G870" s="13"/>
    </row>
    <row r="871" ht="17.25" customHeight="1">
      <c r="C871" s="7"/>
      <c r="D871" s="7"/>
      <c r="E871" s="7"/>
      <c r="G871" s="13"/>
    </row>
    <row r="872" ht="17.25" customHeight="1">
      <c r="C872" s="7"/>
      <c r="D872" s="7"/>
      <c r="E872" s="7"/>
      <c r="G872" s="13"/>
    </row>
    <row r="873" ht="17.25" customHeight="1">
      <c r="C873" s="7"/>
      <c r="D873" s="7"/>
      <c r="E873" s="7"/>
      <c r="G873" s="13"/>
    </row>
    <row r="874" ht="17.25" customHeight="1">
      <c r="C874" s="7"/>
      <c r="D874" s="7"/>
      <c r="E874" s="7"/>
      <c r="G874" s="13"/>
    </row>
    <row r="875" ht="17.25" customHeight="1">
      <c r="C875" s="7"/>
      <c r="D875" s="7"/>
      <c r="E875" s="7"/>
      <c r="G875" s="13"/>
    </row>
    <row r="876" ht="17.25" customHeight="1">
      <c r="C876" s="7"/>
      <c r="D876" s="7"/>
      <c r="E876" s="7"/>
      <c r="G876" s="13"/>
    </row>
    <row r="877" ht="17.25" customHeight="1">
      <c r="C877" s="7"/>
      <c r="D877" s="7"/>
      <c r="E877" s="7"/>
      <c r="G877" s="13"/>
    </row>
    <row r="878" ht="17.25" customHeight="1">
      <c r="C878" s="7"/>
      <c r="D878" s="7"/>
      <c r="E878" s="7"/>
      <c r="G878" s="13"/>
    </row>
    <row r="879" ht="17.25" customHeight="1">
      <c r="C879" s="7"/>
      <c r="D879" s="7"/>
      <c r="E879" s="7"/>
      <c r="G879" s="13"/>
    </row>
    <row r="880" ht="17.25" customHeight="1">
      <c r="C880" s="7"/>
      <c r="D880" s="7"/>
      <c r="E880" s="7"/>
      <c r="G880" s="13"/>
    </row>
    <row r="881" ht="17.25" customHeight="1">
      <c r="C881" s="7"/>
      <c r="D881" s="7"/>
      <c r="E881" s="7"/>
      <c r="G881" s="13"/>
    </row>
    <row r="882" ht="17.25" customHeight="1">
      <c r="C882" s="7"/>
      <c r="D882" s="7"/>
      <c r="E882" s="7"/>
      <c r="G882" s="13"/>
    </row>
    <row r="883" ht="17.25" customHeight="1">
      <c r="C883" s="7"/>
      <c r="D883" s="7"/>
      <c r="E883" s="7"/>
      <c r="G883" s="13"/>
    </row>
    <row r="884" ht="17.25" customHeight="1">
      <c r="C884" s="7"/>
      <c r="D884" s="7"/>
      <c r="E884" s="7"/>
      <c r="G884" s="13"/>
    </row>
    <row r="885" ht="17.25" customHeight="1">
      <c r="C885" s="7"/>
      <c r="D885" s="7"/>
      <c r="E885" s="7"/>
      <c r="G885" s="13"/>
    </row>
    <row r="886" ht="17.25" customHeight="1">
      <c r="C886" s="7"/>
      <c r="D886" s="7"/>
      <c r="E886" s="7"/>
      <c r="G886" s="13"/>
    </row>
    <row r="887" ht="17.25" customHeight="1">
      <c r="C887" s="7"/>
      <c r="D887" s="7"/>
      <c r="E887" s="7"/>
      <c r="G887" s="13"/>
    </row>
    <row r="888" ht="17.25" customHeight="1">
      <c r="C888" s="7"/>
      <c r="D888" s="7"/>
      <c r="E888" s="7"/>
      <c r="G888" s="13"/>
    </row>
    <row r="889" ht="17.25" customHeight="1">
      <c r="C889" s="7"/>
      <c r="D889" s="7"/>
      <c r="E889" s="7"/>
      <c r="G889" s="13"/>
    </row>
    <row r="890" ht="17.25" customHeight="1">
      <c r="C890" s="7"/>
      <c r="D890" s="7"/>
      <c r="E890" s="7"/>
      <c r="G890" s="13"/>
    </row>
    <row r="891" ht="17.25" customHeight="1">
      <c r="C891" s="7"/>
      <c r="D891" s="7"/>
      <c r="E891" s="7"/>
      <c r="G891" s="13"/>
    </row>
    <row r="892" ht="17.25" customHeight="1">
      <c r="C892" s="7"/>
      <c r="D892" s="7"/>
      <c r="E892" s="7"/>
      <c r="G892" s="13"/>
    </row>
    <row r="893" ht="17.25" customHeight="1">
      <c r="C893" s="7"/>
      <c r="D893" s="7"/>
      <c r="E893" s="7"/>
      <c r="G893" s="13"/>
    </row>
    <row r="894" ht="17.25" customHeight="1">
      <c r="C894" s="7"/>
      <c r="D894" s="7"/>
      <c r="E894" s="7"/>
      <c r="G894" s="13"/>
    </row>
    <row r="895" ht="17.25" customHeight="1">
      <c r="C895" s="7"/>
      <c r="D895" s="7"/>
      <c r="E895" s="7"/>
      <c r="G895" s="13"/>
    </row>
    <row r="896" ht="17.25" customHeight="1">
      <c r="C896" s="7"/>
      <c r="D896" s="7"/>
      <c r="E896" s="7"/>
      <c r="G896" s="13"/>
    </row>
    <row r="897" ht="17.25" customHeight="1">
      <c r="C897" s="7"/>
      <c r="D897" s="7"/>
      <c r="E897" s="7"/>
      <c r="G897" s="13"/>
    </row>
    <row r="898" ht="17.25" customHeight="1">
      <c r="C898" s="7"/>
      <c r="D898" s="7"/>
      <c r="E898" s="7"/>
      <c r="G898" s="13"/>
    </row>
    <row r="899" ht="17.25" customHeight="1">
      <c r="C899" s="7"/>
      <c r="D899" s="7"/>
      <c r="E899" s="7"/>
      <c r="G899" s="13"/>
    </row>
    <row r="900" ht="17.25" customHeight="1">
      <c r="C900" s="7"/>
      <c r="D900" s="7"/>
      <c r="E900" s="7"/>
      <c r="G900" s="13"/>
    </row>
    <row r="901" ht="17.25" customHeight="1">
      <c r="C901" s="7"/>
      <c r="D901" s="7"/>
      <c r="E901" s="7"/>
      <c r="G901" s="13"/>
    </row>
    <row r="902" ht="17.25" customHeight="1">
      <c r="C902" s="7"/>
      <c r="D902" s="7"/>
      <c r="E902" s="7"/>
      <c r="G902" s="13"/>
    </row>
    <row r="903" ht="17.25" customHeight="1">
      <c r="C903" s="7"/>
      <c r="D903" s="7"/>
      <c r="E903" s="7"/>
      <c r="G903" s="13"/>
    </row>
    <row r="904" ht="17.25" customHeight="1">
      <c r="C904" s="7"/>
      <c r="D904" s="7"/>
      <c r="E904" s="7"/>
      <c r="G904" s="13"/>
    </row>
    <row r="905" ht="17.25" customHeight="1">
      <c r="C905" s="7"/>
      <c r="D905" s="7"/>
      <c r="E905" s="7"/>
      <c r="G905" s="13"/>
    </row>
    <row r="906" ht="17.25" customHeight="1">
      <c r="C906" s="7"/>
      <c r="D906" s="7"/>
      <c r="E906" s="7"/>
      <c r="G906" s="13"/>
    </row>
    <row r="907" ht="17.25" customHeight="1">
      <c r="C907" s="7"/>
      <c r="D907" s="7"/>
      <c r="E907" s="7"/>
      <c r="G907" s="13"/>
    </row>
    <row r="908" ht="17.25" customHeight="1">
      <c r="C908" s="7"/>
      <c r="D908" s="7"/>
      <c r="E908" s="7"/>
      <c r="G908" s="13"/>
    </row>
    <row r="909" ht="17.25" customHeight="1">
      <c r="C909" s="7"/>
      <c r="D909" s="7"/>
      <c r="E909" s="7"/>
      <c r="G909" s="13"/>
    </row>
    <row r="910" ht="17.25" customHeight="1">
      <c r="C910" s="7"/>
      <c r="D910" s="7"/>
      <c r="E910" s="7"/>
      <c r="G910" s="13"/>
    </row>
    <row r="911" ht="17.25" customHeight="1">
      <c r="C911" s="7"/>
      <c r="D911" s="7"/>
      <c r="E911" s="7"/>
      <c r="G911" s="13"/>
    </row>
    <row r="912" ht="17.25" customHeight="1">
      <c r="C912" s="7"/>
      <c r="D912" s="7"/>
      <c r="E912" s="7"/>
      <c r="G912" s="13"/>
    </row>
    <row r="913" ht="17.25" customHeight="1">
      <c r="C913" s="7"/>
      <c r="D913" s="7"/>
      <c r="E913" s="7"/>
      <c r="G913" s="13"/>
    </row>
    <row r="914" ht="17.25" customHeight="1">
      <c r="C914" s="7"/>
      <c r="D914" s="7"/>
      <c r="E914" s="7"/>
      <c r="G914" s="13"/>
    </row>
    <row r="915" ht="17.25" customHeight="1">
      <c r="C915" s="7"/>
      <c r="D915" s="7"/>
      <c r="E915" s="7"/>
      <c r="G915" s="13"/>
    </row>
    <row r="916" ht="17.25" customHeight="1">
      <c r="C916" s="7"/>
      <c r="D916" s="7"/>
      <c r="E916" s="7"/>
      <c r="G916" s="13"/>
    </row>
    <row r="917" ht="17.25" customHeight="1">
      <c r="C917" s="7"/>
      <c r="D917" s="7"/>
      <c r="E917" s="7"/>
      <c r="G917" s="13"/>
    </row>
    <row r="918" ht="17.25" customHeight="1">
      <c r="C918" s="7"/>
      <c r="D918" s="7"/>
      <c r="E918" s="7"/>
      <c r="G918" s="13"/>
    </row>
    <row r="919" ht="17.25" customHeight="1">
      <c r="C919" s="7"/>
      <c r="D919" s="7"/>
      <c r="E919" s="7"/>
      <c r="G919" s="13"/>
    </row>
    <row r="920" ht="17.25" customHeight="1">
      <c r="C920" s="7"/>
      <c r="D920" s="7"/>
      <c r="E920" s="7"/>
      <c r="G920" s="13"/>
    </row>
    <row r="921" ht="17.25" customHeight="1">
      <c r="C921" s="7"/>
      <c r="D921" s="7"/>
      <c r="E921" s="7"/>
      <c r="G921" s="13"/>
    </row>
    <row r="922" ht="17.25" customHeight="1">
      <c r="C922" s="7"/>
      <c r="D922" s="7"/>
      <c r="E922" s="7"/>
      <c r="G922" s="13"/>
    </row>
    <row r="923" ht="17.25" customHeight="1">
      <c r="C923" s="7"/>
      <c r="D923" s="7"/>
      <c r="E923" s="7"/>
      <c r="G923" s="13"/>
    </row>
    <row r="924" ht="17.25" customHeight="1">
      <c r="C924" s="7"/>
      <c r="D924" s="7"/>
      <c r="E924" s="7"/>
      <c r="G924" s="13"/>
    </row>
    <row r="925" ht="17.25" customHeight="1">
      <c r="C925" s="7"/>
      <c r="D925" s="7"/>
      <c r="E925" s="7"/>
      <c r="G925" s="13"/>
    </row>
    <row r="926" ht="17.25" customHeight="1">
      <c r="C926" s="7"/>
      <c r="D926" s="7"/>
      <c r="E926" s="7"/>
      <c r="G926" s="13"/>
    </row>
    <row r="927" ht="17.25" customHeight="1">
      <c r="C927" s="7"/>
      <c r="D927" s="7"/>
      <c r="E927" s="7"/>
      <c r="G927" s="13"/>
    </row>
    <row r="928" ht="17.25" customHeight="1">
      <c r="C928" s="7"/>
      <c r="D928" s="7"/>
      <c r="E928" s="7"/>
      <c r="G928" s="13"/>
    </row>
    <row r="929" ht="17.25" customHeight="1">
      <c r="C929" s="7"/>
      <c r="D929" s="7"/>
      <c r="E929" s="7"/>
      <c r="G929" s="13"/>
    </row>
    <row r="930" ht="17.25" customHeight="1">
      <c r="C930" s="7"/>
      <c r="D930" s="7"/>
      <c r="E930" s="7"/>
      <c r="G930" s="13"/>
    </row>
    <row r="931" ht="17.25" customHeight="1">
      <c r="C931" s="7"/>
      <c r="D931" s="7"/>
      <c r="E931" s="7"/>
      <c r="G931" s="13"/>
    </row>
    <row r="932" ht="17.25" customHeight="1">
      <c r="C932" s="7"/>
      <c r="D932" s="7"/>
      <c r="E932" s="7"/>
      <c r="G932" s="13"/>
    </row>
    <row r="933" ht="17.25" customHeight="1">
      <c r="C933" s="7"/>
      <c r="D933" s="7"/>
      <c r="E933" s="7"/>
      <c r="G933" s="13"/>
    </row>
    <row r="934" ht="17.25" customHeight="1">
      <c r="C934" s="7"/>
      <c r="D934" s="7"/>
      <c r="E934" s="7"/>
      <c r="G934" s="13"/>
    </row>
    <row r="935" ht="17.25" customHeight="1">
      <c r="C935" s="7"/>
      <c r="D935" s="7"/>
      <c r="E935" s="7"/>
      <c r="G935" s="13"/>
    </row>
    <row r="936" ht="17.25" customHeight="1">
      <c r="C936" s="7"/>
      <c r="D936" s="7"/>
      <c r="E936" s="7"/>
      <c r="G936" s="13"/>
    </row>
    <row r="937" ht="17.25" customHeight="1">
      <c r="C937" s="7"/>
      <c r="D937" s="7"/>
      <c r="E937" s="7"/>
      <c r="G937" s="13"/>
    </row>
    <row r="938" ht="17.25" customHeight="1">
      <c r="C938" s="7"/>
      <c r="D938" s="7"/>
      <c r="E938" s="7"/>
      <c r="G938" s="13"/>
    </row>
    <row r="939" ht="17.25" customHeight="1">
      <c r="C939" s="7"/>
      <c r="D939" s="7"/>
      <c r="E939" s="7"/>
      <c r="G939" s="13"/>
    </row>
    <row r="940" ht="17.25" customHeight="1">
      <c r="C940" s="7"/>
      <c r="D940" s="7"/>
      <c r="E940" s="7"/>
      <c r="G940" s="13"/>
    </row>
    <row r="941" ht="17.25" customHeight="1">
      <c r="C941" s="7"/>
      <c r="D941" s="7"/>
      <c r="E941" s="7"/>
      <c r="G941" s="13"/>
    </row>
    <row r="942" ht="17.25" customHeight="1">
      <c r="C942" s="7"/>
      <c r="D942" s="7"/>
      <c r="E942" s="7"/>
      <c r="G942" s="13"/>
    </row>
    <row r="943" ht="17.25" customHeight="1">
      <c r="C943" s="7"/>
      <c r="D943" s="7"/>
      <c r="E943" s="7"/>
      <c r="G943" s="13"/>
    </row>
    <row r="944" ht="17.25" customHeight="1">
      <c r="C944" s="7"/>
      <c r="D944" s="7"/>
      <c r="E944" s="7"/>
      <c r="G944" s="13"/>
    </row>
    <row r="945" ht="17.25" customHeight="1">
      <c r="C945" s="7"/>
      <c r="D945" s="7"/>
      <c r="E945" s="7"/>
      <c r="G945" s="13"/>
    </row>
    <row r="946" ht="17.25" customHeight="1">
      <c r="C946" s="7"/>
      <c r="D946" s="7"/>
      <c r="E946" s="7"/>
      <c r="G946" s="13"/>
    </row>
    <row r="947" ht="17.25" customHeight="1">
      <c r="C947" s="7"/>
      <c r="D947" s="7"/>
      <c r="E947" s="7"/>
      <c r="G947" s="13"/>
    </row>
    <row r="948" ht="17.25" customHeight="1">
      <c r="C948" s="7"/>
      <c r="D948" s="7"/>
      <c r="E948" s="7"/>
      <c r="G948" s="13"/>
    </row>
    <row r="949" ht="17.25" customHeight="1">
      <c r="C949" s="7"/>
      <c r="D949" s="7"/>
      <c r="E949" s="7"/>
      <c r="G949" s="13"/>
    </row>
    <row r="950" ht="17.25" customHeight="1">
      <c r="C950" s="7"/>
      <c r="D950" s="7"/>
      <c r="E950" s="7"/>
      <c r="G950" s="13"/>
    </row>
    <row r="951" ht="17.25" customHeight="1">
      <c r="C951" s="7"/>
      <c r="D951" s="7"/>
      <c r="E951" s="7"/>
      <c r="G951" s="13"/>
    </row>
    <row r="952" ht="17.25" customHeight="1">
      <c r="C952" s="7"/>
      <c r="D952" s="7"/>
      <c r="E952" s="7"/>
      <c r="G952" s="13"/>
    </row>
    <row r="953" ht="17.25" customHeight="1">
      <c r="C953" s="7"/>
      <c r="D953" s="7"/>
      <c r="E953" s="7"/>
      <c r="G953" s="13"/>
    </row>
    <row r="954" ht="17.25" customHeight="1">
      <c r="C954" s="7"/>
      <c r="D954" s="7"/>
      <c r="E954" s="7"/>
      <c r="G954" s="13"/>
    </row>
    <row r="955" ht="17.25" customHeight="1">
      <c r="C955" s="7"/>
      <c r="D955" s="7"/>
      <c r="E955" s="7"/>
      <c r="G955" s="13"/>
    </row>
    <row r="956" ht="17.25" customHeight="1">
      <c r="C956" s="7"/>
      <c r="D956" s="7"/>
      <c r="E956" s="7"/>
      <c r="G956" s="13"/>
    </row>
    <row r="957" ht="17.25" customHeight="1">
      <c r="C957" s="7"/>
      <c r="D957" s="7"/>
      <c r="E957" s="7"/>
      <c r="G957" s="13"/>
    </row>
    <row r="958" ht="17.25" customHeight="1">
      <c r="C958" s="7"/>
      <c r="D958" s="7"/>
      <c r="E958" s="7"/>
      <c r="G958" s="13"/>
    </row>
    <row r="959" ht="17.25" customHeight="1">
      <c r="C959" s="7"/>
      <c r="D959" s="7"/>
      <c r="E959" s="7"/>
      <c r="G959" s="13"/>
    </row>
    <row r="960" ht="17.25" customHeight="1">
      <c r="C960" s="7"/>
      <c r="D960" s="7"/>
      <c r="E960" s="7"/>
      <c r="G960" s="13"/>
    </row>
    <row r="961" ht="17.25" customHeight="1">
      <c r="C961" s="7"/>
      <c r="D961" s="7"/>
      <c r="E961" s="7"/>
      <c r="G961" s="13"/>
    </row>
    <row r="962" ht="17.25" customHeight="1">
      <c r="C962" s="7"/>
      <c r="D962" s="7"/>
      <c r="E962" s="7"/>
      <c r="G962" s="13"/>
    </row>
    <row r="963" ht="17.25" customHeight="1">
      <c r="C963" s="7"/>
      <c r="D963" s="7"/>
      <c r="E963" s="7"/>
      <c r="G963" s="13"/>
    </row>
    <row r="964" ht="17.25" customHeight="1">
      <c r="C964" s="7"/>
      <c r="D964" s="7"/>
      <c r="E964" s="7"/>
      <c r="G964" s="13"/>
    </row>
    <row r="965" ht="17.25" customHeight="1">
      <c r="C965" s="7"/>
      <c r="D965" s="7"/>
      <c r="E965" s="7"/>
      <c r="G965" s="13"/>
    </row>
    <row r="966" ht="17.25" customHeight="1">
      <c r="C966" s="7"/>
      <c r="D966" s="7"/>
      <c r="E966" s="7"/>
      <c r="G966" s="13"/>
    </row>
    <row r="967" ht="17.25" customHeight="1">
      <c r="C967" s="7"/>
      <c r="D967" s="7"/>
      <c r="E967" s="7"/>
      <c r="G967" s="13"/>
    </row>
    <row r="968" ht="17.25" customHeight="1">
      <c r="C968" s="7"/>
      <c r="D968" s="7"/>
      <c r="E968" s="7"/>
      <c r="G968" s="13"/>
    </row>
    <row r="969" ht="17.25" customHeight="1">
      <c r="C969" s="7"/>
      <c r="D969" s="7"/>
      <c r="E969" s="7"/>
      <c r="G969" s="13"/>
    </row>
    <row r="970" ht="17.25" customHeight="1">
      <c r="C970" s="7"/>
      <c r="D970" s="7"/>
      <c r="E970" s="7"/>
      <c r="G970" s="13"/>
    </row>
    <row r="971" ht="17.25" customHeight="1">
      <c r="C971" s="7"/>
      <c r="D971" s="7"/>
      <c r="E971" s="7"/>
      <c r="G971" s="13"/>
    </row>
    <row r="972" ht="17.25" customHeight="1">
      <c r="C972" s="7"/>
      <c r="D972" s="7"/>
      <c r="E972" s="7"/>
      <c r="G972" s="13"/>
    </row>
    <row r="973" ht="17.25" customHeight="1">
      <c r="C973" s="7"/>
      <c r="D973" s="7"/>
      <c r="E973" s="7"/>
      <c r="G973" s="13"/>
    </row>
    <row r="974" ht="17.25" customHeight="1">
      <c r="C974" s="7"/>
      <c r="D974" s="7"/>
      <c r="E974" s="7"/>
      <c r="G974" s="13"/>
    </row>
    <row r="975" ht="17.25" customHeight="1">
      <c r="C975" s="7"/>
      <c r="D975" s="7"/>
      <c r="E975" s="7"/>
      <c r="G975" s="13"/>
    </row>
    <row r="976" ht="17.25" customHeight="1">
      <c r="C976" s="7"/>
      <c r="D976" s="7"/>
      <c r="E976" s="7"/>
      <c r="G976" s="13"/>
    </row>
    <row r="977" ht="17.25" customHeight="1">
      <c r="C977" s="7"/>
      <c r="D977" s="7"/>
      <c r="E977" s="7"/>
      <c r="G977" s="13"/>
    </row>
    <row r="978" ht="17.25" customHeight="1">
      <c r="C978" s="7"/>
      <c r="D978" s="7"/>
      <c r="E978" s="7"/>
      <c r="G978" s="13"/>
    </row>
    <row r="979" ht="17.25" customHeight="1">
      <c r="C979" s="7"/>
      <c r="D979" s="7"/>
      <c r="E979" s="7"/>
      <c r="G979" s="13"/>
    </row>
    <row r="980" ht="17.25" customHeight="1">
      <c r="C980" s="7"/>
      <c r="D980" s="7"/>
      <c r="E980" s="7"/>
      <c r="G980" s="13"/>
    </row>
    <row r="981" ht="17.25" customHeight="1">
      <c r="C981" s="7"/>
      <c r="D981" s="7"/>
      <c r="E981" s="7"/>
      <c r="G981" s="13"/>
    </row>
    <row r="982" ht="17.25" customHeight="1">
      <c r="C982" s="7"/>
      <c r="D982" s="7"/>
      <c r="E982" s="7"/>
      <c r="G982" s="13"/>
    </row>
    <row r="983" ht="17.25" customHeight="1">
      <c r="C983" s="7"/>
      <c r="D983" s="7"/>
      <c r="E983" s="7"/>
      <c r="G983" s="13"/>
    </row>
    <row r="984" ht="17.25" customHeight="1">
      <c r="C984" s="7"/>
      <c r="D984" s="7"/>
      <c r="E984" s="7"/>
      <c r="G984" s="13"/>
    </row>
    <row r="985" ht="17.25" customHeight="1">
      <c r="C985" s="7"/>
      <c r="D985" s="7"/>
      <c r="E985" s="7"/>
      <c r="G985" s="13"/>
    </row>
    <row r="986" ht="17.25" customHeight="1">
      <c r="C986" s="7"/>
      <c r="D986" s="7"/>
      <c r="E986" s="7"/>
      <c r="G986" s="13"/>
    </row>
    <row r="987" ht="17.25" customHeight="1">
      <c r="C987" s="7"/>
      <c r="D987" s="7"/>
      <c r="E987" s="7"/>
      <c r="G987" s="13"/>
    </row>
    <row r="988" ht="17.25" customHeight="1">
      <c r="C988" s="7"/>
      <c r="D988" s="7"/>
      <c r="E988" s="7"/>
      <c r="G988" s="13"/>
    </row>
    <row r="989" ht="17.25" customHeight="1">
      <c r="C989" s="7"/>
      <c r="D989" s="7"/>
      <c r="E989" s="7"/>
      <c r="G989" s="13"/>
    </row>
    <row r="990" ht="17.25" customHeight="1">
      <c r="C990" s="7"/>
      <c r="D990" s="7"/>
      <c r="E990" s="7"/>
      <c r="G990" s="13"/>
    </row>
    <row r="991" ht="17.25" customHeight="1">
      <c r="C991" s="7"/>
      <c r="D991" s="7"/>
      <c r="E991" s="7"/>
      <c r="G991" s="13"/>
    </row>
    <row r="992" ht="17.25" customHeight="1">
      <c r="C992" s="7"/>
      <c r="D992" s="7"/>
      <c r="E992" s="7"/>
      <c r="G992" s="13"/>
    </row>
    <row r="993" ht="17.25" customHeight="1">
      <c r="C993" s="7"/>
      <c r="D993" s="7"/>
      <c r="E993" s="7"/>
      <c r="G993" s="13"/>
    </row>
    <row r="994" ht="17.25" customHeight="1">
      <c r="C994" s="7"/>
      <c r="D994" s="7"/>
      <c r="E994" s="7"/>
      <c r="G994" s="13"/>
    </row>
    <row r="995" ht="17.25" customHeight="1">
      <c r="C995" s="7"/>
      <c r="D995" s="7"/>
      <c r="E995" s="7"/>
      <c r="G995" s="13"/>
    </row>
    <row r="996" ht="17.25" customHeight="1">
      <c r="C996" s="7"/>
      <c r="D996" s="7"/>
      <c r="E996" s="7"/>
      <c r="G996" s="13"/>
    </row>
    <row r="997" ht="17.25" customHeight="1">
      <c r="C997" s="7"/>
      <c r="D997" s="7"/>
      <c r="E997" s="7"/>
      <c r="G997" s="13"/>
    </row>
    <row r="998" ht="17.25" customHeight="1">
      <c r="C998" s="7"/>
      <c r="D998" s="7"/>
      <c r="E998" s="7"/>
      <c r="G998" s="13"/>
    </row>
    <row r="999" ht="17.25" customHeight="1">
      <c r="C999" s="7"/>
      <c r="D999" s="7"/>
      <c r="E999" s="7"/>
      <c r="G999" s="13"/>
    </row>
    <row r="1000" ht="17.25" customHeight="1">
      <c r="C1000" s="7"/>
      <c r="D1000" s="7"/>
      <c r="E1000" s="7"/>
      <c r="G1000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2022-02-15T08:20:20Z</dcterms:created>
  <dc:creator>sirloin</dc:creator>
</cp:coreProperties>
</file>